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de\Desktop\VIKAS BITSoM\Capstone Project\"/>
    </mc:Choice>
  </mc:AlternateContent>
  <xr:revisionPtr revIDLastSave="0" documentId="13_ncr:1_{D2602203-1290-41A0-9D87-922F097FD274}" xr6:coauthVersionLast="47" xr6:coauthVersionMax="47" xr10:uidLastSave="{00000000-0000-0000-0000-000000000000}"/>
  <bookViews>
    <workbookView xWindow="-108" yWindow="-108" windowWidth="23256" windowHeight="12576" activeTab="5" xr2:uid="{B2B0E9CB-CBA4-4C9A-9C8D-F0F3EE6368EB}"/>
  </bookViews>
  <sheets>
    <sheet name="merchants" sheetId="2" r:id="rId1"/>
    <sheet name="ledger" sheetId="6" r:id="rId2"/>
    <sheet name="Transaction_view" sheetId="1" r:id="rId3"/>
    <sheet name="Merchant_Day_Table" sheetId="7" r:id="rId4"/>
    <sheet name="Fee" sheetId="4" r:id="rId5"/>
    <sheet name="Merchant_Status" sheetId="8" r:id="rId6"/>
  </sheets>
  <definedNames>
    <definedName name="_xlnm._FilterDatabase" localSheetId="0" hidden="1">merchants!$A$1:$D$41</definedName>
    <definedName name="_xlnm._FilterDatabase" localSheetId="2" hidden="1">Transaction_view!$J$2:$J$548</definedName>
  </definedName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2" i="8"/>
  <c r="A41" i="8"/>
  <c r="A29" i="8"/>
  <c r="A30" i="8"/>
  <c r="A31" i="8"/>
  <c r="A32" i="8"/>
  <c r="A33" i="8"/>
  <c r="A34" i="8"/>
  <c r="A35" i="8"/>
  <c r="A36" i="8"/>
  <c r="A37" i="8"/>
  <c r="A38" i="8"/>
  <c r="A39" i="8"/>
  <c r="A40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" i="8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2" i="1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362" i="1"/>
  <c r="K370" i="1"/>
  <c r="K378" i="1"/>
  <c r="K386" i="1"/>
  <c r="K394" i="1"/>
  <c r="K402" i="1"/>
  <c r="K410" i="1"/>
  <c r="K418" i="1"/>
  <c r="K426" i="1"/>
  <c r="K434" i="1"/>
  <c r="K442" i="1"/>
  <c r="K450" i="1"/>
  <c r="K458" i="1"/>
  <c r="K466" i="1"/>
  <c r="K474" i="1"/>
  <c r="K482" i="1"/>
  <c r="K490" i="1"/>
  <c r="K498" i="1"/>
  <c r="K506" i="1"/>
  <c r="K514" i="1"/>
  <c r="K522" i="1"/>
  <c r="K530" i="1"/>
  <c r="K538" i="1"/>
  <c r="K5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450" i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I467" i="1"/>
  <c r="K467" i="1" s="1"/>
  <c r="I468" i="1"/>
  <c r="K468" i="1" s="1"/>
  <c r="I469" i="1"/>
  <c r="K469" i="1" s="1"/>
  <c r="I470" i="1"/>
  <c r="K470" i="1" s="1"/>
  <c r="I471" i="1"/>
  <c r="K471" i="1" s="1"/>
  <c r="I472" i="1"/>
  <c r="K472" i="1" s="1"/>
  <c r="I473" i="1"/>
  <c r="K473" i="1" s="1"/>
  <c r="I474" i="1"/>
  <c r="I475" i="1"/>
  <c r="K475" i="1" s="1"/>
  <c r="I476" i="1"/>
  <c r="K476" i="1" s="1"/>
  <c r="I477" i="1"/>
  <c r="K477" i="1" s="1"/>
  <c r="I478" i="1"/>
  <c r="K478" i="1" s="1"/>
  <c r="I479" i="1"/>
  <c r="K479" i="1" s="1"/>
  <c r="I480" i="1"/>
  <c r="K480" i="1" s="1"/>
  <c r="I481" i="1"/>
  <c r="K481" i="1" s="1"/>
  <c r="I482" i="1"/>
  <c r="I483" i="1"/>
  <c r="K483" i="1" s="1"/>
  <c r="I484" i="1"/>
  <c r="K484" i="1" s="1"/>
  <c r="I485" i="1"/>
  <c r="K485" i="1" s="1"/>
  <c r="I486" i="1"/>
  <c r="K486" i="1" s="1"/>
  <c r="I487" i="1"/>
  <c r="K487" i="1" s="1"/>
  <c r="I488" i="1"/>
  <c r="K488" i="1" s="1"/>
  <c r="I489" i="1"/>
  <c r="K489" i="1" s="1"/>
  <c r="I490" i="1"/>
  <c r="I491" i="1"/>
  <c r="K491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I531" i="1"/>
  <c r="K531" i="1" s="1"/>
  <c r="I532" i="1"/>
  <c r="K532" i="1" s="1"/>
  <c r="I533" i="1"/>
  <c r="K533" i="1" s="1"/>
  <c r="I534" i="1"/>
  <c r="K534" i="1" s="1"/>
  <c r="I535" i="1"/>
  <c r="K535" i="1" s="1"/>
  <c r="I536" i="1"/>
  <c r="K536" i="1" s="1"/>
  <c r="I537" i="1"/>
  <c r="K537" i="1" s="1"/>
  <c r="I538" i="1"/>
  <c r="I539" i="1"/>
  <c r="K539" i="1" s="1"/>
  <c r="I540" i="1"/>
  <c r="K540" i="1" s="1"/>
  <c r="I541" i="1"/>
  <c r="K541" i="1" s="1"/>
  <c r="I542" i="1"/>
  <c r="K542" i="1" s="1"/>
  <c r="I543" i="1"/>
  <c r="K543" i="1" s="1"/>
  <c r="I544" i="1"/>
  <c r="K544" i="1" s="1"/>
  <c r="I545" i="1"/>
  <c r="K545" i="1" s="1"/>
  <c r="I546" i="1"/>
  <c r="I547" i="1"/>
  <c r="K547" i="1" s="1"/>
  <c r="I548" i="1"/>
  <c r="K548" i="1" s="1"/>
  <c r="I2" i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2" i="1"/>
  <c r="E497" i="1"/>
  <c r="D72" i="1"/>
  <c r="D253" i="1"/>
  <c r="D285" i="1"/>
  <c r="D453" i="1"/>
  <c r="D477" i="1"/>
  <c r="C181" i="1"/>
  <c r="C257" i="1"/>
  <c r="C321" i="1"/>
  <c r="C385" i="1"/>
  <c r="C449" i="1"/>
  <c r="C513" i="1"/>
  <c r="B2" i="1"/>
  <c r="E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D27" i="1" s="1"/>
  <c r="B28" i="1"/>
  <c r="B29" i="1"/>
  <c r="B30" i="1"/>
  <c r="B31" i="1"/>
  <c r="B32" i="1"/>
  <c r="B33" i="1"/>
  <c r="B34" i="1"/>
  <c r="C34" i="1" s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C58" i="1" s="1"/>
  <c r="B59" i="1"/>
  <c r="D59" i="1" s="1"/>
  <c r="B60" i="1"/>
  <c r="B61" i="1"/>
  <c r="C61" i="1" s="1"/>
  <c r="B62" i="1"/>
  <c r="E62" i="1" s="1"/>
  <c r="B63" i="1"/>
  <c r="C63" i="1" s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C77" i="1" s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C90" i="1" s="1"/>
  <c r="B91" i="1"/>
  <c r="B92" i="1"/>
  <c r="C92" i="1" s="1"/>
  <c r="B93" i="1"/>
  <c r="B94" i="1"/>
  <c r="E94" i="1" s="1"/>
  <c r="B95" i="1"/>
  <c r="B96" i="1"/>
  <c r="B97" i="1"/>
  <c r="B98" i="1"/>
  <c r="B99" i="1"/>
  <c r="B100" i="1"/>
  <c r="B101" i="1"/>
  <c r="C101" i="1" s="1"/>
  <c r="B102" i="1"/>
  <c r="B103" i="1"/>
  <c r="B104" i="1"/>
  <c r="B105" i="1"/>
  <c r="B106" i="1"/>
  <c r="C106" i="1" s="1"/>
  <c r="B107" i="1"/>
  <c r="C107" i="1" s="1"/>
  <c r="B108" i="1"/>
  <c r="B109" i="1"/>
  <c r="B110" i="1"/>
  <c r="B111" i="1"/>
  <c r="B112" i="1"/>
  <c r="D112" i="1" s="1"/>
  <c r="B113" i="1"/>
  <c r="E113" i="1" s="1"/>
  <c r="B114" i="1"/>
  <c r="B115" i="1"/>
  <c r="C115" i="1" s="1"/>
  <c r="B116" i="1"/>
  <c r="B117" i="1"/>
  <c r="C117" i="1" s="1"/>
  <c r="B118" i="1"/>
  <c r="D118" i="1" s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E131" i="1" s="1"/>
  <c r="B132" i="1"/>
  <c r="C132" i="1" s="1"/>
  <c r="B133" i="1"/>
  <c r="B134" i="1"/>
  <c r="B135" i="1"/>
  <c r="B136" i="1"/>
  <c r="B137" i="1"/>
  <c r="B138" i="1"/>
  <c r="B139" i="1"/>
  <c r="B140" i="1"/>
  <c r="C140" i="1" s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E157" i="1" s="1"/>
  <c r="B158" i="1"/>
  <c r="B159" i="1"/>
  <c r="B160" i="1"/>
  <c r="B161" i="1"/>
  <c r="B162" i="1"/>
  <c r="B163" i="1"/>
  <c r="B164" i="1"/>
  <c r="B165" i="1"/>
  <c r="E165" i="1" s="1"/>
  <c r="B166" i="1"/>
  <c r="B167" i="1"/>
  <c r="B168" i="1"/>
  <c r="B169" i="1"/>
  <c r="B170" i="1"/>
  <c r="E170" i="1" s="1"/>
  <c r="B171" i="1"/>
  <c r="C171" i="1" s="1"/>
  <c r="B172" i="1"/>
  <c r="B173" i="1"/>
  <c r="B174" i="1"/>
  <c r="B175" i="1"/>
  <c r="B176" i="1"/>
  <c r="B177" i="1"/>
  <c r="B178" i="1"/>
  <c r="B179" i="1"/>
  <c r="C179" i="1" s="1"/>
  <c r="B180" i="1"/>
  <c r="B181" i="1"/>
  <c r="B182" i="1"/>
  <c r="B183" i="1"/>
  <c r="B184" i="1"/>
  <c r="B185" i="1"/>
  <c r="B186" i="1"/>
  <c r="B187" i="1"/>
  <c r="B188" i="1"/>
  <c r="B189" i="1"/>
  <c r="D189" i="1" s="1"/>
  <c r="B190" i="1"/>
  <c r="E190" i="1" s="1"/>
  <c r="B191" i="1"/>
  <c r="B192" i="1"/>
  <c r="B193" i="1"/>
  <c r="B194" i="1"/>
  <c r="B195" i="1"/>
  <c r="C195" i="1" s="1"/>
  <c r="B196" i="1"/>
  <c r="C196" i="1" s="1"/>
  <c r="B197" i="1"/>
  <c r="D197" i="1" s="1"/>
  <c r="B198" i="1"/>
  <c r="B199" i="1"/>
  <c r="B200" i="1"/>
  <c r="B201" i="1"/>
  <c r="B202" i="1"/>
  <c r="B203" i="1"/>
  <c r="C203" i="1" s="1"/>
  <c r="B204" i="1"/>
  <c r="B205" i="1"/>
  <c r="C205" i="1" s="1"/>
  <c r="B206" i="1"/>
  <c r="C206" i="1" s="1"/>
  <c r="B207" i="1"/>
  <c r="B208" i="1"/>
  <c r="B209" i="1"/>
  <c r="B210" i="1"/>
  <c r="B211" i="1"/>
  <c r="B212" i="1"/>
  <c r="B213" i="1"/>
  <c r="C213" i="1" s="1"/>
  <c r="B214" i="1"/>
  <c r="B215" i="1"/>
  <c r="B216" i="1"/>
  <c r="B217" i="1"/>
  <c r="B218" i="1"/>
  <c r="C218" i="1" s="1"/>
  <c r="B219" i="1"/>
  <c r="B220" i="1"/>
  <c r="B221" i="1"/>
  <c r="D221" i="1" s="1"/>
  <c r="B222" i="1"/>
  <c r="B223" i="1"/>
  <c r="B224" i="1"/>
  <c r="C224" i="1" s="1"/>
  <c r="B225" i="1"/>
  <c r="C225" i="1" s="1"/>
  <c r="B226" i="1"/>
  <c r="C226" i="1" s="1"/>
  <c r="B227" i="1"/>
  <c r="B228" i="1"/>
  <c r="B229" i="1"/>
  <c r="D229" i="1" s="1"/>
  <c r="B230" i="1"/>
  <c r="B231" i="1"/>
  <c r="B232" i="1"/>
  <c r="C232" i="1" s="1"/>
  <c r="B233" i="1"/>
  <c r="B234" i="1"/>
  <c r="E234" i="1" s="1"/>
  <c r="B235" i="1"/>
  <c r="C235" i="1" s="1"/>
  <c r="B236" i="1"/>
  <c r="B237" i="1"/>
  <c r="B238" i="1"/>
  <c r="B239" i="1"/>
  <c r="B240" i="1"/>
  <c r="B241" i="1"/>
  <c r="D241" i="1" s="1"/>
  <c r="B242" i="1"/>
  <c r="C242" i="1" s="1"/>
  <c r="B243" i="1"/>
  <c r="C243" i="1" s="1"/>
  <c r="B244" i="1"/>
  <c r="B245" i="1"/>
  <c r="B246" i="1"/>
  <c r="B247" i="1"/>
  <c r="B248" i="1"/>
  <c r="B249" i="1"/>
  <c r="B250" i="1"/>
  <c r="B251" i="1"/>
  <c r="C251" i="1" s="1"/>
  <c r="B252" i="1"/>
  <c r="B253" i="1"/>
  <c r="B254" i="1"/>
  <c r="B255" i="1"/>
  <c r="B256" i="1"/>
  <c r="B257" i="1"/>
  <c r="B258" i="1"/>
  <c r="C258" i="1" s="1"/>
  <c r="B259" i="1"/>
  <c r="C259" i="1" s="1"/>
  <c r="B260" i="1"/>
  <c r="B261" i="1"/>
  <c r="B262" i="1"/>
  <c r="B263" i="1"/>
  <c r="B264" i="1"/>
  <c r="B265" i="1"/>
  <c r="B266" i="1"/>
  <c r="E266" i="1" s="1"/>
  <c r="B267" i="1"/>
  <c r="C267" i="1" s="1"/>
  <c r="B268" i="1"/>
  <c r="B269" i="1"/>
  <c r="B270" i="1"/>
  <c r="B271" i="1"/>
  <c r="B272" i="1"/>
  <c r="B273" i="1"/>
  <c r="C273" i="1" s="1"/>
  <c r="B274" i="1"/>
  <c r="C274" i="1" s="1"/>
  <c r="B275" i="1"/>
  <c r="C275" i="1" s="1"/>
  <c r="B276" i="1"/>
  <c r="B277" i="1"/>
  <c r="B278" i="1"/>
  <c r="B279" i="1"/>
  <c r="B280" i="1"/>
  <c r="B281" i="1"/>
  <c r="B282" i="1"/>
  <c r="B283" i="1"/>
  <c r="C283" i="1" s="1"/>
  <c r="B284" i="1"/>
  <c r="B285" i="1"/>
  <c r="B286" i="1"/>
  <c r="B287" i="1"/>
  <c r="B288" i="1"/>
  <c r="B289" i="1"/>
  <c r="C289" i="1" s="1"/>
  <c r="B290" i="1"/>
  <c r="C290" i="1" s="1"/>
  <c r="B291" i="1"/>
  <c r="C291" i="1" s="1"/>
  <c r="B292" i="1"/>
  <c r="B293" i="1"/>
  <c r="D293" i="1" s="1"/>
  <c r="B294" i="1"/>
  <c r="B295" i="1"/>
  <c r="B296" i="1"/>
  <c r="B297" i="1"/>
  <c r="B298" i="1"/>
  <c r="E298" i="1" s="1"/>
  <c r="B299" i="1"/>
  <c r="C299" i="1" s="1"/>
  <c r="B300" i="1"/>
  <c r="B301" i="1"/>
  <c r="B302" i="1"/>
  <c r="B303" i="1"/>
  <c r="B304" i="1"/>
  <c r="B305" i="1"/>
  <c r="C305" i="1" s="1"/>
  <c r="B306" i="1"/>
  <c r="C306" i="1" s="1"/>
  <c r="B307" i="1"/>
  <c r="C307" i="1" s="1"/>
  <c r="B308" i="1"/>
  <c r="B309" i="1"/>
  <c r="B310" i="1"/>
  <c r="B311" i="1"/>
  <c r="B312" i="1"/>
  <c r="B313" i="1"/>
  <c r="B314" i="1"/>
  <c r="B315" i="1"/>
  <c r="C315" i="1" s="1"/>
  <c r="B316" i="1"/>
  <c r="B317" i="1"/>
  <c r="D317" i="1" s="1"/>
  <c r="B318" i="1"/>
  <c r="E318" i="1" s="1"/>
  <c r="B319" i="1"/>
  <c r="B320" i="1"/>
  <c r="B321" i="1"/>
  <c r="B322" i="1"/>
  <c r="C322" i="1" s="1"/>
  <c r="B323" i="1"/>
  <c r="C323" i="1" s="1"/>
  <c r="B324" i="1"/>
  <c r="B325" i="1"/>
  <c r="B326" i="1"/>
  <c r="B327" i="1"/>
  <c r="B328" i="1"/>
  <c r="B329" i="1"/>
  <c r="B330" i="1"/>
  <c r="E330" i="1" s="1"/>
  <c r="B331" i="1"/>
  <c r="C331" i="1" s="1"/>
  <c r="B332" i="1"/>
  <c r="B333" i="1"/>
  <c r="B334" i="1"/>
  <c r="B335" i="1"/>
  <c r="B336" i="1"/>
  <c r="B337" i="1"/>
  <c r="C337" i="1" s="1"/>
  <c r="B338" i="1"/>
  <c r="C338" i="1" s="1"/>
  <c r="B339" i="1"/>
  <c r="C339" i="1" s="1"/>
  <c r="B340" i="1"/>
  <c r="B341" i="1"/>
  <c r="B342" i="1"/>
  <c r="B343" i="1"/>
  <c r="B344" i="1"/>
  <c r="B345" i="1"/>
  <c r="B346" i="1"/>
  <c r="B347" i="1"/>
  <c r="C347" i="1" s="1"/>
  <c r="B348" i="1"/>
  <c r="B349" i="1"/>
  <c r="B350" i="1"/>
  <c r="E350" i="1" s="1"/>
  <c r="B351" i="1"/>
  <c r="B352" i="1"/>
  <c r="B353" i="1"/>
  <c r="C353" i="1" s="1"/>
  <c r="B354" i="1"/>
  <c r="C354" i="1" s="1"/>
  <c r="B355" i="1"/>
  <c r="C355" i="1" s="1"/>
  <c r="B356" i="1"/>
  <c r="B357" i="1"/>
  <c r="D357" i="1" s="1"/>
  <c r="B358" i="1"/>
  <c r="B359" i="1"/>
  <c r="B360" i="1"/>
  <c r="B361" i="1"/>
  <c r="B362" i="1"/>
  <c r="E362" i="1" s="1"/>
  <c r="B363" i="1"/>
  <c r="C363" i="1" s="1"/>
  <c r="B364" i="1"/>
  <c r="B365" i="1"/>
  <c r="B366" i="1"/>
  <c r="B367" i="1"/>
  <c r="B368" i="1"/>
  <c r="B369" i="1"/>
  <c r="D369" i="1" s="1"/>
  <c r="B370" i="1"/>
  <c r="C370" i="1" s="1"/>
  <c r="B371" i="1"/>
  <c r="C371" i="1" s="1"/>
  <c r="B372" i="1"/>
  <c r="B373" i="1"/>
  <c r="B374" i="1"/>
  <c r="B375" i="1"/>
  <c r="B376" i="1"/>
  <c r="B377" i="1"/>
  <c r="B378" i="1"/>
  <c r="B379" i="1"/>
  <c r="C379" i="1" s="1"/>
  <c r="B380" i="1"/>
  <c r="B381" i="1"/>
  <c r="D381" i="1" s="1"/>
  <c r="B382" i="1"/>
  <c r="B383" i="1"/>
  <c r="B384" i="1"/>
  <c r="B385" i="1"/>
  <c r="B386" i="1"/>
  <c r="C386" i="1" s="1"/>
  <c r="B387" i="1"/>
  <c r="C387" i="1" s="1"/>
  <c r="B388" i="1"/>
  <c r="B389" i="1"/>
  <c r="D389" i="1" s="1"/>
  <c r="B390" i="1"/>
  <c r="B391" i="1"/>
  <c r="B392" i="1"/>
  <c r="B393" i="1"/>
  <c r="B394" i="1"/>
  <c r="E394" i="1" s="1"/>
  <c r="B395" i="1"/>
  <c r="C395" i="1" s="1"/>
  <c r="B396" i="1"/>
  <c r="B397" i="1"/>
  <c r="B398" i="1"/>
  <c r="B399" i="1"/>
  <c r="B400" i="1"/>
  <c r="B401" i="1"/>
  <c r="C401" i="1" s="1"/>
  <c r="B402" i="1"/>
  <c r="C402" i="1" s="1"/>
  <c r="B403" i="1"/>
  <c r="C403" i="1" s="1"/>
  <c r="B404" i="1"/>
  <c r="B405" i="1"/>
  <c r="B406" i="1"/>
  <c r="B407" i="1"/>
  <c r="B408" i="1"/>
  <c r="B409" i="1"/>
  <c r="B410" i="1"/>
  <c r="B411" i="1"/>
  <c r="C411" i="1" s="1"/>
  <c r="B412" i="1"/>
  <c r="B413" i="1"/>
  <c r="B414" i="1"/>
  <c r="B415" i="1"/>
  <c r="B416" i="1"/>
  <c r="B417" i="1"/>
  <c r="C417" i="1" s="1"/>
  <c r="B418" i="1"/>
  <c r="C418" i="1" s="1"/>
  <c r="B419" i="1"/>
  <c r="C419" i="1" s="1"/>
  <c r="B420" i="1"/>
  <c r="B421" i="1"/>
  <c r="D421" i="1" s="1"/>
  <c r="B422" i="1"/>
  <c r="B423" i="1"/>
  <c r="B424" i="1"/>
  <c r="B425" i="1"/>
  <c r="B426" i="1"/>
  <c r="E426" i="1" s="1"/>
  <c r="B427" i="1"/>
  <c r="C427" i="1" s="1"/>
  <c r="B428" i="1"/>
  <c r="B429" i="1"/>
  <c r="B430" i="1"/>
  <c r="B431" i="1"/>
  <c r="B432" i="1"/>
  <c r="B433" i="1"/>
  <c r="C433" i="1" s="1"/>
  <c r="B434" i="1"/>
  <c r="C434" i="1" s="1"/>
  <c r="B435" i="1"/>
  <c r="C435" i="1" s="1"/>
  <c r="B436" i="1"/>
  <c r="B437" i="1"/>
  <c r="B438" i="1"/>
  <c r="B439" i="1"/>
  <c r="B440" i="1"/>
  <c r="B441" i="1"/>
  <c r="B442" i="1"/>
  <c r="B443" i="1"/>
  <c r="C443" i="1" s="1"/>
  <c r="B444" i="1"/>
  <c r="B445" i="1"/>
  <c r="D445" i="1" s="1"/>
  <c r="B446" i="1"/>
  <c r="E446" i="1" s="1"/>
  <c r="B447" i="1"/>
  <c r="B448" i="1"/>
  <c r="B449" i="1"/>
  <c r="B450" i="1"/>
  <c r="C450" i="1" s="1"/>
  <c r="B451" i="1"/>
  <c r="C451" i="1" s="1"/>
  <c r="B452" i="1"/>
  <c r="B453" i="1"/>
  <c r="B454" i="1"/>
  <c r="B455" i="1"/>
  <c r="B456" i="1"/>
  <c r="B457" i="1"/>
  <c r="B458" i="1"/>
  <c r="E458" i="1" s="1"/>
  <c r="B459" i="1"/>
  <c r="C459" i="1" s="1"/>
  <c r="B460" i="1"/>
  <c r="B461" i="1"/>
  <c r="B462" i="1"/>
  <c r="B463" i="1"/>
  <c r="B464" i="1"/>
  <c r="B465" i="1"/>
  <c r="C465" i="1" s="1"/>
  <c r="B466" i="1"/>
  <c r="C466" i="1" s="1"/>
  <c r="B467" i="1"/>
  <c r="C467" i="1" s="1"/>
  <c r="B468" i="1"/>
  <c r="B469" i="1"/>
  <c r="B470" i="1"/>
  <c r="B471" i="1"/>
  <c r="B472" i="1"/>
  <c r="B473" i="1"/>
  <c r="B474" i="1"/>
  <c r="B475" i="1"/>
  <c r="C475" i="1" s="1"/>
  <c r="B476" i="1"/>
  <c r="B477" i="1"/>
  <c r="B478" i="1"/>
  <c r="B479" i="1"/>
  <c r="B480" i="1"/>
  <c r="B481" i="1"/>
  <c r="C481" i="1" s="1"/>
  <c r="B482" i="1"/>
  <c r="C482" i="1" s="1"/>
  <c r="B483" i="1"/>
  <c r="C483" i="1" s="1"/>
  <c r="B484" i="1"/>
  <c r="B485" i="1"/>
  <c r="D485" i="1" s="1"/>
  <c r="B486" i="1"/>
  <c r="B487" i="1"/>
  <c r="B488" i="1"/>
  <c r="B489" i="1"/>
  <c r="B490" i="1"/>
  <c r="E490" i="1" s="1"/>
  <c r="B491" i="1"/>
  <c r="C491" i="1" s="1"/>
  <c r="B492" i="1"/>
  <c r="B493" i="1"/>
  <c r="B494" i="1"/>
  <c r="B495" i="1"/>
  <c r="B496" i="1"/>
  <c r="B497" i="1"/>
  <c r="D497" i="1" s="1"/>
  <c r="B498" i="1"/>
  <c r="C498" i="1" s="1"/>
  <c r="B499" i="1"/>
  <c r="C499" i="1" s="1"/>
  <c r="B500" i="1"/>
  <c r="B501" i="1"/>
  <c r="B502" i="1"/>
  <c r="B503" i="1"/>
  <c r="B504" i="1"/>
  <c r="B505" i="1"/>
  <c r="B506" i="1"/>
  <c r="B507" i="1"/>
  <c r="C507" i="1" s="1"/>
  <c r="B508" i="1"/>
  <c r="B509" i="1"/>
  <c r="D509" i="1" s="1"/>
  <c r="B510" i="1"/>
  <c r="B511" i="1"/>
  <c r="B512" i="1"/>
  <c r="B513" i="1"/>
  <c r="B514" i="1"/>
  <c r="C514" i="1" s="1"/>
  <c r="B515" i="1"/>
  <c r="C515" i="1" s="1"/>
  <c r="B516" i="1"/>
  <c r="B517" i="1"/>
  <c r="B518" i="1"/>
  <c r="B519" i="1"/>
  <c r="B520" i="1"/>
  <c r="B521" i="1"/>
  <c r="B522" i="1"/>
  <c r="E522" i="1" s="1"/>
  <c r="B523" i="1"/>
  <c r="C523" i="1" s="1"/>
  <c r="B524" i="1"/>
  <c r="B525" i="1"/>
  <c r="B526" i="1"/>
  <c r="B527" i="1"/>
  <c r="B528" i="1"/>
  <c r="B529" i="1"/>
  <c r="C529" i="1" s="1"/>
  <c r="B530" i="1"/>
  <c r="C530" i="1" s="1"/>
  <c r="B531" i="1"/>
  <c r="C531" i="1" s="1"/>
  <c r="B532" i="1"/>
  <c r="B533" i="1"/>
  <c r="C533" i="1" s="1"/>
  <c r="B534" i="1"/>
  <c r="B535" i="1"/>
  <c r="B536" i="1"/>
  <c r="B537" i="1"/>
  <c r="B538" i="1"/>
  <c r="B539" i="1"/>
  <c r="B540" i="1"/>
  <c r="B541" i="1"/>
  <c r="E541" i="1" s="1"/>
  <c r="B542" i="1"/>
  <c r="B543" i="1"/>
  <c r="B544" i="1"/>
  <c r="B545" i="1"/>
  <c r="C545" i="1" s="1"/>
  <c r="B546" i="1"/>
  <c r="C546" i="1" s="1"/>
  <c r="B547" i="1"/>
  <c r="C547" i="1" s="1"/>
  <c r="B54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2" i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2" i="6"/>
  <c r="C2" i="1" l="1"/>
  <c r="C497" i="1"/>
  <c r="C369" i="1"/>
  <c r="C241" i="1"/>
  <c r="C157" i="1"/>
  <c r="D2" i="1"/>
  <c r="C541" i="1"/>
  <c r="D541" i="1"/>
  <c r="D362" i="1"/>
  <c r="D165" i="1"/>
  <c r="D131" i="1"/>
  <c r="E535" i="1"/>
  <c r="D535" i="1"/>
  <c r="E519" i="1"/>
  <c r="D519" i="1"/>
  <c r="E503" i="1"/>
  <c r="D503" i="1"/>
  <c r="E487" i="1"/>
  <c r="D487" i="1"/>
  <c r="E471" i="1"/>
  <c r="D471" i="1"/>
  <c r="E455" i="1"/>
  <c r="D455" i="1"/>
  <c r="E439" i="1"/>
  <c r="D439" i="1"/>
  <c r="E423" i="1"/>
  <c r="D423" i="1"/>
  <c r="E407" i="1"/>
  <c r="D407" i="1"/>
  <c r="E391" i="1"/>
  <c r="D391" i="1"/>
  <c r="E375" i="1"/>
  <c r="D375" i="1"/>
  <c r="E359" i="1"/>
  <c r="D359" i="1"/>
  <c r="E343" i="1"/>
  <c r="D343" i="1"/>
  <c r="E327" i="1"/>
  <c r="D327" i="1"/>
  <c r="E311" i="1"/>
  <c r="D311" i="1"/>
  <c r="E295" i="1"/>
  <c r="D295" i="1"/>
  <c r="E279" i="1"/>
  <c r="D279" i="1"/>
  <c r="E263" i="1"/>
  <c r="D263" i="1"/>
  <c r="E247" i="1"/>
  <c r="D247" i="1"/>
  <c r="E231" i="1"/>
  <c r="D231" i="1"/>
  <c r="E215" i="1"/>
  <c r="D215" i="1"/>
  <c r="E199" i="1"/>
  <c r="D199" i="1"/>
  <c r="C199" i="1"/>
  <c r="E183" i="1"/>
  <c r="D183" i="1"/>
  <c r="E167" i="1"/>
  <c r="D167" i="1"/>
  <c r="C167" i="1"/>
  <c r="E151" i="1"/>
  <c r="D151" i="1"/>
  <c r="C151" i="1"/>
  <c r="E135" i="1"/>
  <c r="D135" i="1"/>
  <c r="C135" i="1"/>
  <c r="D119" i="1"/>
  <c r="E119" i="1"/>
  <c r="D103" i="1"/>
  <c r="E103" i="1"/>
  <c r="C103" i="1"/>
  <c r="D87" i="1"/>
  <c r="E87" i="1"/>
  <c r="C87" i="1"/>
  <c r="D71" i="1"/>
  <c r="E71" i="1"/>
  <c r="C71" i="1"/>
  <c r="D55" i="1"/>
  <c r="E55" i="1"/>
  <c r="C55" i="1"/>
  <c r="D39" i="1"/>
  <c r="E39" i="1"/>
  <c r="D23" i="1"/>
  <c r="E23" i="1"/>
  <c r="C23" i="1"/>
  <c r="D7" i="1"/>
  <c r="E7" i="1"/>
  <c r="C503" i="1"/>
  <c r="C471" i="1"/>
  <c r="C439" i="1"/>
  <c r="C407" i="1"/>
  <c r="C375" i="1"/>
  <c r="C343" i="1"/>
  <c r="C311" i="1"/>
  <c r="C279" i="1"/>
  <c r="C247" i="1"/>
  <c r="C231" i="1"/>
  <c r="D542" i="1"/>
  <c r="E542" i="1"/>
  <c r="C542" i="1"/>
  <c r="D534" i="1"/>
  <c r="E534" i="1"/>
  <c r="C534" i="1"/>
  <c r="D526" i="1"/>
  <c r="E526" i="1"/>
  <c r="C526" i="1"/>
  <c r="D518" i="1"/>
  <c r="E518" i="1"/>
  <c r="C518" i="1"/>
  <c r="D510" i="1"/>
  <c r="E510" i="1"/>
  <c r="C510" i="1"/>
  <c r="D502" i="1"/>
  <c r="E502" i="1"/>
  <c r="C502" i="1"/>
  <c r="D494" i="1"/>
  <c r="E494" i="1"/>
  <c r="C494" i="1"/>
  <c r="D486" i="1"/>
  <c r="E486" i="1"/>
  <c r="C486" i="1"/>
  <c r="D478" i="1"/>
  <c r="C478" i="1"/>
  <c r="D470" i="1"/>
  <c r="E470" i="1"/>
  <c r="C470" i="1"/>
  <c r="D462" i="1"/>
  <c r="E462" i="1"/>
  <c r="C462" i="1"/>
  <c r="D454" i="1"/>
  <c r="E454" i="1"/>
  <c r="C454" i="1"/>
  <c r="D446" i="1"/>
  <c r="C446" i="1"/>
  <c r="D438" i="1"/>
  <c r="E438" i="1"/>
  <c r="C438" i="1"/>
  <c r="D430" i="1"/>
  <c r="E430" i="1"/>
  <c r="C430" i="1"/>
  <c r="D422" i="1"/>
  <c r="E422" i="1"/>
  <c r="C422" i="1"/>
  <c r="D414" i="1"/>
  <c r="E414" i="1"/>
  <c r="C414" i="1"/>
  <c r="D406" i="1"/>
  <c r="E406" i="1"/>
  <c r="C406" i="1"/>
  <c r="D398" i="1"/>
  <c r="E398" i="1"/>
  <c r="C398" i="1"/>
  <c r="D390" i="1"/>
  <c r="E390" i="1"/>
  <c r="C390" i="1"/>
  <c r="D382" i="1"/>
  <c r="E382" i="1"/>
  <c r="C382" i="1"/>
  <c r="D374" i="1"/>
  <c r="E374" i="1"/>
  <c r="C374" i="1"/>
  <c r="D366" i="1"/>
  <c r="E366" i="1"/>
  <c r="C366" i="1"/>
  <c r="D358" i="1"/>
  <c r="E358" i="1"/>
  <c r="C358" i="1"/>
  <c r="D350" i="1"/>
  <c r="C350" i="1"/>
  <c r="D342" i="1"/>
  <c r="E342" i="1"/>
  <c r="C342" i="1"/>
  <c r="D334" i="1"/>
  <c r="E334" i="1"/>
  <c r="C334" i="1"/>
  <c r="D326" i="1"/>
  <c r="E326" i="1"/>
  <c r="C326" i="1"/>
  <c r="D318" i="1"/>
  <c r="C318" i="1"/>
  <c r="D310" i="1"/>
  <c r="E310" i="1"/>
  <c r="C310" i="1"/>
  <c r="D302" i="1"/>
  <c r="E302" i="1"/>
  <c r="C302" i="1"/>
  <c r="D294" i="1"/>
  <c r="E294" i="1"/>
  <c r="C294" i="1"/>
  <c r="D286" i="1"/>
  <c r="E286" i="1"/>
  <c r="C286" i="1"/>
  <c r="D278" i="1"/>
  <c r="E278" i="1"/>
  <c r="C278" i="1"/>
  <c r="D270" i="1"/>
  <c r="E270" i="1"/>
  <c r="C270" i="1"/>
  <c r="D262" i="1"/>
  <c r="E262" i="1"/>
  <c r="C262" i="1"/>
  <c r="D254" i="1"/>
  <c r="E254" i="1"/>
  <c r="C254" i="1"/>
  <c r="D246" i="1"/>
  <c r="E246" i="1"/>
  <c r="C246" i="1"/>
  <c r="D238" i="1"/>
  <c r="E238" i="1"/>
  <c r="C238" i="1"/>
  <c r="D230" i="1"/>
  <c r="E230" i="1"/>
  <c r="C230" i="1"/>
  <c r="D222" i="1"/>
  <c r="C222" i="1"/>
  <c r="D214" i="1"/>
  <c r="E214" i="1"/>
  <c r="C214" i="1"/>
  <c r="D206" i="1"/>
  <c r="E206" i="1"/>
  <c r="D198" i="1"/>
  <c r="E198" i="1"/>
  <c r="C198" i="1"/>
  <c r="D190" i="1"/>
  <c r="C190" i="1"/>
  <c r="D182" i="1"/>
  <c r="C182" i="1"/>
  <c r="E182" i="1"/>
  <c r="D174" i="1"/>
  <c r="E174" i="1"/>
  <c r="C174" i="1"/>
  <c r="D166" i="1"/>
  <c r="E166" i="1"/>
  <c r="C166" i="1"/>
  <c r="D158" i="1"/>
  <c r="C158" i="1"/>
  <c r="E158" i="1"/>
  <c r="D150" i="1"/>
  <c r="C150" i="1"/>
  <c r="E150" i="1"/>
  <c r="D142" i="1"/>
  <c r="E142" i="1"/>
  <c r="C142" i="1"/>
  <c r="D134" i="1"/>
  <c r="E134" i="1"/>
  <c r="C134" i="1"/>
  <c r="D126" i="1"/>
  <c r="C126" i="1"/>
  <c r="E126" i="1"/>
  <c r="C118" i="1"/>
  <c r="E118" i="1"/>
  <c r="E110" i="1"/>
  <c r="D110" i="1"/>
  <c r="C110" i="1"/>
  <c r="E102" i="1"/>
  <c r="C102" i="1"/>
  <c r="D102" i="1"/>
  <c r="C94" i="1"/>
  <c r="D94" i="1"/>
  <c r="D86" i="1"/>
  <c r="C86" i="1"/>
  <c r="E86" i="1"/>
  <c r="E78" i="1"/>
  <c r="C78" i="1"/>
  <c r="D78" i="1"/>
  <c r="E70" i="1"/>
  <c r="D70" i="1"/>
  <c r="C70" i="1"/>
  <c r="D62" i="1"/>
  <c r="C62" i="1"/>
  <c r="C54" i="1"/>
  <c r="E54" i="1"/>
  <c r="D54" i="1"/>
  <c r="E46" i="1"/>
  <c r="C46" i="1"/>
  <c r="D46" i="1"/>
  <c r="E38" i="1"/>
  <c r="D38" i="1"/>
  <c r="C38" i="1"/>
  <c r="D30" i="1"/>
  <c r="C30" i="1"/>
  <c r="E30" i="1"/>
  <c r="C22" i="1"/>
  <c r="E22" i="1"/>
  <c r="D22" i="1"/>
  <c r="E14" i="1"/>
  <c r="C14" i="1"/>
  <c r="D14" i="1"/>
  <c r="E6" i="1"/>
  <c r="D6" i="1"/>
  <c r="C6" i="1"/>
  <c r="C170" i="1"/>
  <c r="D522" i="1"/>
  <c r="D266" i="1"/>
  <c r="E241" i="1"/>
  <c r="E543" i="1"/>
  <c r="D543" i="1"/>
  <c r="E527" i="1"/>
  <c r="D527" i="1"/>
  <c r="E511" i="1"/>
  <c r="D511" i="1"/>
  <c r="E495" i="1"/>
  <c r="D495" i="1"/>
  <c r="E479" i="1"/>
  <c r="D479" i="1"/>
  <c r="E463" i="1"/>
  <c r="D463" i="1"/>
  <c r="E447" i="1"/>
  <c r="D447" i="1"/>
  <c r="E431" i="1"/>
  <c r="D431" i="1"/>
  <c r="E415" i="1"/>
  <c r="D415" i="1"/>
  <c r="E399" i="1"/>
  <c r="D399" i="1"/>
  <c r="E383" i="1"/>
  <c r="D383" i="1"/>
  <c r="E367" i="1"/>
  <c r="D367" i="1"/>
  <c r="E351" i="1"/>
  <c r="D351" i="1"/>
  <c r="E335" i="1"/>
  <c r="D335" i="1"/>
  <c r="E319" i="1"/>
  <c r="D319" i="1"/>
  <c r="E303" i="1"/>
  <c r="D303" i="1"/>
  <c r="E287" i="1"/>
  <c r="D287" i="1"/>
  <c r="E271" i="1"/>
  <c r="D271" i="1"/>
  <c r="E255" i="1"/>
  <c r="D255" i="1"/>
  <c r="E239" i="1"/>
  <c r="D239" i="1"/>
  <c r="E223" i="1"/>
  <c r="D223" i="1"/>
  <c r="E207" i="1"/>
  <c r="D207" i="1"/>
  <c r="C207" i="1"/>
  <c r="E191" i="1"/>
  <c r="D191" i="1"/>
  <c r="E175" i="1"/>
  <c r="D175" i="1"/>
  <c r="C175" i="1"/>
  <c r="E159" i="1"/>
  <c r="D159" i="1"/>
  <c r="C159" i="1"/>
  <c r="E143" i="1"/>
  <c r="D143" i="1"/>
  <c r="E127" i="1"/>
  <c r="D127" i="1"/>
  <c r="D111" i="1"/>
  <c r="E111" i="1"/>
  <c r="C111" i="1"/>
  <c r="D95" i="1"/>
  <c r="E95" i="1"/>
  <c r="C95" i="1"/>
  <c r="D79" i="1"/>
  <c r="E79" i="1"/>
  <c r="D63" i="1"/>
  <c r="E63" i="1"/>
  <c r="D47" i="1"/>
  <c r="E47" i="1"/>
  <c r="C47" i="1"/>
  <c r="D31" i="1"/>
  <c r="E31" i="1"/>
  <c r="C31" i="1"/>
  <c r="D15" i="1"/>
  <c r="E15" i="1"/>
  <c r="C15" i="1"/>
  <c r="C519" i="1"/>
  <c r="C487" i="1"/>
  <c r="C455" i="1"/>
  <c r="C423" i="1"/>
  <c r="C391" i="1"/>
  <c r="C359" i="1"/>
  <c r="C327" i="1"/>
  <c r="C295" i="1"/>
  <c r="C263" i="1"/>
  <c r="E533" i="1"/>
  <c r="D533" i="1"/>
  <c r="E525" i="1"/>
  <c r="D525" i="1"/>
  <c r="C525" i="1"/>
  <c r="E517" i="1"/>
  <c r="C517" i="1"/>
  <c r="E509" i="1"/>
  <c r="C509" i="1"/>
  <c r="E501" i="1"/>
  <c r="D501" i="1"/>
  <c r="C501" i="1"/>
  <c r="E493" i="1"/>
  <c r="D493" i="1"/>
  <c r="C493" i="1"/>
  <c r="E485" i="1"/>
  <c r="C485" i="1"/>
  <c r="E477" i="1"/>
  <c r="C477" i="1"/>
  <c r="E469" i="1"/>
  <c r="D469" i="1"/>
  <c r="C469" i="1"/>
  <c r="E461" i="1"/>
  <c r="D461" i="1"/>
  <c r="C461" i="1"/>
  <c r="E453" i="1"/>
  <c r="C453" i="1"/>
  <c r="E445" i="1"/>
  <c r="C445" i="1"/>
  <c r="E437" i="1"/>
  <c r="D437" i="1"/>
  <c r="C437" i="1"/>
  <c r="E429" i="1"/>
  <c r="D429" i="1"/>
  <c r="C429" i="1"/>
  <c r="E421" i="1"/>
  <c r="C421" i="1"/>
  <c r="E413" i="1"/>
  <c r="C413" i="1"/>
  <c r="E405" i="1"/>
  <c r="D405" i="1"/>
  <c r="C405" i="1"/>
  <c r="E397" i="1"/>
  <c r="D397" i="1"/>
  <c r="C397" i="1"/>
  <c r="E389" i="1"/>
  <c r="C389" i="1"/>
  <c r="E381" i="1"/>
  <c r="C381" i="1"/>
  <c r="E373" i="1"/>
  <c r="D373" i="1"/>
  <c r="C373" i="1"/>
  <c r="E365" i="1"/>
  <c r="D365" i="1"/>
  <c r="C365" i="1"/>
  <c r="E357" i="1"/>
  <c r="C357" i="1"/>
  <c r="E349" i="1"/>
  <c r="C349" i="1"/>
  <c r="E341" i="1"/>
  <c r="D341" i="1"/>
  <c r="C341" i="1"/>
  <c r="E333" i="1"/>
  <c r="D333" i="1"/>
  <c r="C333" i="1"/>
  <c r="E325" i="1"/>
  <c r="C325" i="1"/>
  <c r="E317" i="1"/>
  <c r="C317" i="1"/>
  <c r="E309" i="1"/>
  <c r="D309" i="1"/>
  <c r="C309" i="1"/>
  <c r="E301" i="1"/>
  <c r="D301" i="1"/>
  <c r="C301" i="1"/>
  <c r="E293" i="1"/>
  <c r="C293" i="1"/>
  <c r="E285" i="1"/>
  <c r="C285" i="1"/>
  <c r="E277" i="1"/>
  <c r="D277" i="1"/>
  <c r="C277" i="1"/>
  <c r="E269" i="1"/>
  <c r="D269" i="1"/>
  <c r="C269" i="1"/>
  <c r="E261" i="1"/>
  <c r="C261" i="1"/>
  <c r="E253" i="1"/>
  <c r="C253" i="1"/>
  <c r="E245" i="1"/>
  <c r="D245" i="1"/>
  <c r="C245" i="1"/>
  <c r="E237" i="1"/>
  <c r="D237" i="1"/>
  <c r="C237" i="1"/>
  <c r="E229" i="1"/>
  <c r="C229" i="1"/>
  <c r="E221" i="1"/>
  <c r="C221" i="1"/>
  <c r="E213" i="1"/>
  <c r="D213" i="1"/>
  <c r="E205" i="1"/>
  <c r="D205" i="1"/>
  <c r="E197" i="1"/>
  <c r="C197" i="1"/>
  <c r="E189" i="1"/>
  <c r="C189" i="1"/>
  <c r="E181" i="1"/>
  <c r="D181" i="1"/>
  <c r="E173" i="1"/>
  <c r="D173" i="1"/>
  <c r="C173" i="1"/>
  <c r="E149" i="1"/>
  <c r="D149" i="1"/>
  <c r="C149" i="1"/>
  <c r="E141" i="1"/>
  <c r="D141" i="1"/>
  <c r="C141" i="1"/>
  <c r="E133" i="1"/>
  <c r="D133" i="1"/>
  <c r="C133" i="1"/>
  <c r="E125" i="1"/>
  <c r="D125" i="1"/>
  <c r="C125" i="1"/>
  <c r="E117" i="1"/>
  <c r="D117" i="1"/>
  <c r="E109" i="1"/>
  <c r="D109" i="1"/>
  <c r="C109" i="1"/>
  <c r="E101" i="1"/>
  <c r="D101" i="1"/>
  <c r="E93" i="1"/>
  <c r="D93" i="1"/>
  <c r="E85" i="1"/>
  <c r="D85" i="1"/>
  <c r="C85" i="1"/>
  <c r="E77" i="1"/>
  <c r="D77" i="1"/>
  <c r="E69" i="1"/>
  <c r="D69" i="1"/>
  <c r="C69" i="1"/>
  <c r="E61" i="1"/>
  <c r="D61" i="1"/>
  <c r="E53" i="1"/>
  <c r="D53" i="1"/>
  <c r="C53" i="1"/>
  <c r="E45" i="1"/>
  <c r="D45" i="1"/>
  <c r="C45" i="1"/>
  <c r="E37" i="1"/>
  <c r="D37" i="1"/>
  <c r="C37" i="1"/>
  <c r="E29" i="1"/>
  <c r="D29" i="1"/>
  <c r="C29" i="1"/>
  <c r="E21" i="1"/>
  <c r="D21" i="1"/>
  <c r="C21" i="1"/>
  <c r="E13" i="1"/>
  <c r="D13" i="1"/>
  <c r="C13" i="1"/>
  <c r="E5" i="1"/>
  <c r="D5" i="1"/>
  <c r="C5" i="1"/>
  <c r="C543" i="1"/>
  <c r="C165" i="1"/>
  <c r="C131" i="1"/>
  <c r="C93" i="1"/>
  <c r="D517" i="1"/>
  <c r="D426" i="1"/>
  <c r="D349" i="1"/>
  <c r="D261" i="1"/>
  <c r="D170" i="1"/>
  <c r="E222" i="1"/>
  <c r="E548" i="1"/>
  <c r="D548" i="1"/>
  <c r="C548" i="1"/>
  <c r="E540" i="1"/>
  <c r="D540" i="1"/>
  <c r="C540" i="1"/>
  <c r="E532" i="1"/>
  <c r="D532" i="1"/>
  <c r="C532" i="1"/>
  <c r="E524" i="1"/>
  <c r="D524" i="1"/>
  <c r="C524" i="1"/>
  <c r="E516" i="1"/>
  <c r="D516" i="1"/>
  <c r="C516" i="1"/>
  <c r="E508" i="1"/>
  <c r="D508" i="1"/>
  <c r="C508" i="1"/>
  <c r="E500" i="1"/>
  <c r="D500" i="1"/>
  <c r="C500" i="1"/>
  <c r="E492" i="1"/>
  <c r="D492" i="1"/>
  <c r="C492" i="1"/>
  <c r="E484" i="1"/>
  <c r="D484" i="1"/>
  <c r="C484" i="1"/>
  <c r="E476" i="1"/>
  <c r="D476" i="1"/>
  <c r="C476" i="1"/>
  <c r="E468" i="1"/>
  <c r="D468" i="1"/>
  <c r="C468" i="1"/>
  <c r="E460" i="1"/>
  <c r="D460" i="1"/>
  <c r="C460" i="1"/>
  <c r="E452" i="1"/>
  <c r="D452" i="1"/>
  <c r="C452" i="1"/>
  <c r="E444" i="1"/>
  <c r="D444" i="1"/>
  <c r="C444" i="1"/>
  <c r="E436" i="1"/>
  <c r="D436" i="1"/>
  <c r="C436" i="1"/>
  <c r="E428" i="1"/>
  <c r="D428" i="1"/>
  <c r="C428" i="1"/>
  <c r="E420" i="1"/>
  <c r="D420" i="1"/>
  <c r="C420" i="1"/>
  <c r="E412" i="1"/>
  <c r="D412" i="1"/>
  <c r="C412" i="1"/>
  <c r="E404" i="1"/>
  <c r="D404" i="1"/>
  <c r="C404" i="1"/>
  <c r="E396" i="1"/>
  <c r="D396" i="1"/>
  <c r="C396" i="1"/>
  <c r="E388" i="1"/>
  <c r="D388" i="1"/>
  <c r="C388" i="1"/>
  <c r="E380" i="1"/>
  <c r="D380" i="1"/>
  <c r="C380" i="1"/>
  <c r="E372" i="1"/>
  <c r="D372" i="1"/>
  <c r="C372" i="1"/>
  <c r="E364" i="1"/>
  <c r="D364" i="1"/>
  <c r="C364" i="1"/>
  <c r="E356" i="1"/>
  <c r="D356" i="1"/>
  <c r="C356" i="1"/>
  <c r="E348" i="1"/>
  <c r="D348" i="1"/>
  <c r="C348" i="1"/>
  <c r="E340" i="1"/>
  <c r="D340" i="1"/>
  <c r="C340" i="1"/>
  <c r="E332" i="1"/>
  <c r="D332" i="1"/>
  <c r="C332" i="1"/>
  <c r="E324" i="1"/>
  <c r="D324" i="1"/>
  <c r="C324" i="1"/>
  <c r="E316" i="1"/>
  <c r="D316" i="1"/>
  <c r="C316" i="1"/>
  <c r="E308" i="1"/>
  <c r="D308" i="1"/>
  <c r="C308" i="1"/>
  <c r="E300" i="1"/>
  <c r="D300" i="1"/>
  <c r="C300" i="1"/>
  <c r="E292" i="1"/>
  <c r="D292" i="1"/>
  <c r="C292" i="1"/>
  <c r="E284" i="1"/>
  <c r="D284" i="1"/>
  <c r="C284" i="1"/>
  <c r="E276" i="1"/>
  <c r="D276" i="1"/>
  <c r="C276" i="1"/>
  <c r="E268" i="1"/>
  <c r="D268" i="1"/>
  <c r="C268" i="1"/>
  <c r="E260" i="1"/>
  <c r="D260" i="1"/>
  <c r="C260" i="1"/>
  <c r="E252" i="1"/>
  <c r="D252" i="1"/>
  <c r="C252" i="1"/>
  <c r="E244" i="1"/>
  <c r="D244" i="1"/>
  <c r="C244" i="1"/>
  <c r="E236" i="1"/>
  <c r="D236" i="1"/>
  <c r="C236" i="1"/>
  <c r="E228" i="1"/>
  <c r="D228" i="1"/>
  <c r="C228" i="1"/>
  <c r="E220" i="1"/>
  <c r="D220" i="1"/>
  <c r="C220" i="1"/>
  <c r="E212" i="1"/>
  <c r="D212" i="1"/>
  <c r="C212" i="1"/>
  <c r="E204" i="1"/>
  <c r="D204" i="1"/>
  <c r="C204" i="1"/>
  <c r="E196" i="1"/>
  <c r="D196" i="1"/>
  <c r="E188" i="1"/>
  <c r="D188" i="1"/>
  <c r="C188" i="1"/>
  <c r="E180" i="1"/>
  <c r="D180" i="1"/>
  <c r="C180" i="1"/>
  <c r="E172" i="1"/>
  <c r="D172" i="1"/>
  <c r="C172" i="1"/>
  <c r="E164" i="1"/>
  <c r="D164" i="1"/>
  <c r="C164" i="1"/>
  <c r="E156" i="1"/>
  <c r="D156" i="1"/>
  <c r="E148" i="1"/>
  <c r="D148" i="1"/>
  <c r="C148" i="1"/>
  <c r="E140" i="1"/>
  <c r="D140" i="1"/>
  <c r="E132" i="1"/>
  <c r="D132" i="1"/>
  <c r="E124" i="1"/>
  <c r="D124" i="1"/>
  <c r="C124" i="1"/>
  <c r="E116" i="1"/>
  <c r="D116" i="1"/>
  <c r="C116" i="1"/>
  <c r="E108" i="1"/>
  <c r="D108" i="1"/>
  <c r="C108" i="1"/>
  <c r="E100" i="1"/>
  <c r="D100" i="1"/>
  <c r="C100" i="1"/>
  <c r="C223" i="1"/>
  <c r="C127" i="1"/>
  <c r="C39" i="1"/>
  <c r="D330" i="1"/>
  <c r="E547" i="1"/>
  <c r="D547" i="1"/>
  <c r="E539" i="1"/>
  <c r="D539" i="1"/>
  <c r="E531" i="1"/>
  <c r="D531" i="1"/>
  <c r="E523" i="1"/>
  <c r="D523" i="1"/>
  <c r="E515" i="1"/>
  <c r="D515" i="1"/>
  <c r="E507" i="1"/>
  <c r="D507" i="1"/>
  <c r="E499" i="1"/>
  <c r="D499" i="1"/>
  <c r="E491" i="1"/>
  <c r="D491" i="1"/>
  <c r="E483" i="1"/>
  <c r="D483" i="1"/>
  <c r="E475" i="1"/>
  <c r="D475" i="1"/>
  <c r="E467" i="1"/>
  <c r="D467" i="1"/>
  <c r="E459" i="1"/>
  <c r="D459" i="1"/>
  <c r="E451" i="1"/>
  <c r="D451" i="1"/>
  <c r="E443" i="1"/>
  <c r="D443" i="1"/>
  <c r="E435" i="1"/>
  <c r="D435" i="1"/>
  <c r="E427" i="1"/>
  <c r="D427" i="1"/>
  <c r="E419" i="1"/>
  <c r="D419" i="1"/>
  <c r="E411" i="1"/>
  <c r="D411" i="1"/>
  <c r="E403" i="1"/>
  <c r="D403" i="1"/>
  <c r="E395" i="1"/>
  <c r="D395" i="1"/>
  <c r="E387" i="1"/>
  <c r="D387" i="1"/>
  <c r="E379" i="1"/>
  <c r="D379" i="1"/>
  <c r="E371" i="1"/>
  <c r="D371" i="1"/>
  <c r="E363" i="1"/>
  <c r="D363" i="1"/>
  <c r="E355" i="1"/>
  <c r="D355" i="1"/>
  <c r="E347" i="1"/>
  <c r="D347" i="1"/>
  <c r="E339" i="1"/>
  <c r="D339" i="1"/>
  <c r="E331" i="1"/>
  <c r="D331" i="1"/>
  <c r="E323" i="1"/>
  <c r="D323" i="1"/>
  <c r="E315" i="1"/>
  <c r="D315" i="1"/>
  <c r="E307" i="1"/>
  <c r="D307" i="1"/>
  <c r="E299" i="1"/>
  <c r="D299" i="1"/>
  <c r="E291" i="1"/>
  <c r="D291" i="1"/>
  <c r="E283" i="1"/>
  <c r="D283" i="1"/>
  <c r="E275" i="1"/>
  <c r="D275" i="1"/>
  <c r="E267" i="1"/>
  <c r="D267" i="1"/>
  <c r="E259" i="1"/>
  <c r="D259" i="1"/>
  <c r="E251" i="1"/>
  <c r="D251" i="1"/>
  <c r="E243" i="1"/>
  <c r="D243" i="1"/>
  <c r="E235" i="1"/>
  <c r="D235" i="1"/>
  <c r="E227" i="1"/>
  <c r="D227" i="1"/>
  <c r="C227" i="1"/>
  <c r="E219" i="1"/>
  <c r="D219" i="1"/>
  <c r="C219" i="1"/>
  <c r="E211" i="1"/>
  <c r="D211" i="1"/>
  <c r="C211" i="1"/>
  <c r="E203" i="1"/>
  <c r="D203" i="1"/>
  <c r="E195" i="1"/>
  <c r="D195" i="1"/>
  <c r="E187" i="1"/>
  <c r="D187" i="1"/>
  <c r="C187" i="1"/>
  <c r="E179" i="1"/>
  <c r="D179" i="1"/>
  <c r="E171" i="1"/>
  <c r="D171" i="1"/>
  <c r="E163" i="1"/>
  <c r="D163" i="1"/>
  <c r="C163" i="1"/>
  <c r="E155" i="1"/>
  <c r="D155" i="1"/>
  <c r="C155" i="1"/>
  <c r="E147" i="1"/>
  <c r="D147" i="1"/>
  <c r="C147" i="1"/>
  <c r="E139" i="1"/>
  <c r="D139" i="1"/>
  <c r="C139" i="1"/>
  <c r="E123" i="1"/>
  <c r="D123" i="1"/>
  <c r="C123" i="1"/>
  <c r="E115" i="1"/>
  <c r="D115" i="1"/>
  <c r="E107" i="1"/>
  <c r="D107" i="1"/>
  <c r="E99" i="1"/>
  <c r="D99" i="1"/>
  <c r="C99" i="1"/>
  <c r="E91" i="1"/>
  <c r="D91" i="1"/>
  <c r="C91" i="1"/>
  <c r="E83" i="1"/>
  <c r="D83" i="1"/>
  <c r="C83" i="1"/>
  <c r="E75" i="1"/>
  <c r="C75" i="1"/>
  <c r="D75" i="1"/>
  <c r="E67" i="1"/>
  <c r="C67" i="1"/>
  <c r="D67" i="1"/>
  <c r="E59" i="1"/>
  <c r="C59" i="1"/>
  <c r="E51" i="1"/>
  <c r="C51" i="1"/>
  <c r="D51" i="1"/>
  <c r="E43" i="1"/>
  <c r="C43" i="1"/>
  <c r="D43" i="1"/>
  <c r="E35" i="1"/>
  <c r="C35" i="1"/>
  <c r="D35" i="1"/>
  <c r="E27" i="1"/>
  <c r="C27" i="1"/>
  <c r="E19" i="1"/>
  <c r="C19" i="1"/>
  <c r="D19" i="1"/>
  <c r="E11" i="1"/>
  <c r="C11" i="1"/>
  <c r="D11" i="1"/>
  <c r="E3" i="1"/>
  <c r="C3" i="1"/>
  <c r="D3" i="1"/>
  <c r="C539" i="1"/>
  <c r="C527" i="1"/>
  <c r="C511" i="1"/>
  <c r="C495" i="1"/>
  <c r="C479" i="1"/>
  <c r="C463" i="1"/>
  <c r="C447" i="1"/>
  <c r="C431" i="1"/>
  <c r="C415" i="1"/>
  <c r="C399" i="1"/>
  <c r="C383" i="1"/>
  <c r="C367" i="1"/>
  <c r="C351" i="1"/>
  <c r="C335" i="1"/>
  <c r="C319" i="1"/>
  <c r="C303" i="1"/>
  <c r="C287" i="1"/>
  <c r="C271" i="1"/>
  <c r="C255" i="1"/>
  <c r="C239" i="1"/>
  <c r="C191" i="1"/>
  <c r="C156" i="1"/>
  <c r="C119" i="1"/>
  <c r="D490" i="1"/>
  <c r="D413" i="1"/>
  <c r="D325" i="1"/>
  <c r="D234" i="1"/>
  <c r="D157" i="1"/>
  <c r="E478" i="1"/>
  <c r="E546" i="1"/>
  <c r="D546" i="1"/>
  <c r="E538" i="1"/>
  <c r="D538" i="1"/>
  <c r="E530" i="1"/>
  <c r="D530" i="1"/>
  <c r="E514" i="1"/>
  <c r="D514" i="1"/>
  <c r="E506" i="1"/>
  <c r="D506" i="1"/>
  <c r="E498" i="1"/>
  <c r="D498" i="1"/>
  <c r="E482" i="1"/>
  <c r="D482" i="1"/>
  <c r="E474" i="1"/>
  <c r="D474" i="1"/>
  <c r="E466" i="1"/>
  <c r="D466" i="1"/>
  <c r="E450" i="1"/>
  <c r="D450" i="1"/>
  <c r="E442" i="1"/>
  <c r="D442" i="1"/>
  <c r="E434" i="1"/>
  <c r="D434" i="1"/>
  <c r="E418" i="1"/>
  <c r="D418" i="1"/>
  <c r="E410" i="1"/>
  <c r="D410" i="1"/>
  <c r="E402" i="1"/>
  <c r="D402" i="1"/>
  <c r="E386" i="1"/>
  <c r="D386" i="1"/>
  <c r="E378" i="1"/>
  <c r="D378" i="1"/>
  <c r="E370" i="1"/>
  <c r="D370" i="1"/>
  <c r="E354" i="1"/>
  <c r="D354" i="1"/>
  <c r="E346" i="1"/>
  <c r="D346" i="1"/>
  <c r="E338" i="1"/>
  <c r="D338" i="1"/>
  <c r="E322" i="1"/>
  <c r="D322" i="1"/>
  <c r="E314" i="1"/>
  <c r="D314" i="1"/>
  <c r="E306" i="1"/>
  <c r="D306" i="1"/>
  <c r="E290" i="1"/>
  <c r="D290" i="1"/>
  <c r="E282" i="1"/>
  <c r="D282" i="1"/>
  <c r="E274" i="1"/>
  <c r="D274" i="1"/>
  <c r="E258" i="1"/>
  <c r="D258" i="1"/>
  <c r="E250" i="1"/>
  <c r="D250" i="1"/>
  <c r="E242" i="1"/>
  <c r="D242" i="1"/>
  <c r="E226" i="1"/>
  <c r="D226" i="1"/>
  <c r="E218" i="1"/>
  <c r="D218" i="1"/>
  <c r="E210" i="1"/>
  <c r="D210" i="1"/>
  <c r="C210" i="1"/>
  <c r="E202" i="1"/>
  <c r="C202" i="1"/>
  <c r="E194" i="1"/>
  <c r="D194" i="1"/>
  <c r="C194" i="1"/>
  <c r="E186" i="1"/>
  <c r="C186" i="1"/>
  <c r="D186" i="1"/>
  <c r="E178" i="1"/>
  <c r="D178" i="1"/>
  <c r="C178" i="1"/>
  <c r="E162" i="1"/>
  <c r="C162" i="1"/>
  <c r="D162" i="1"/>
  <c r="E154" i="1"/>
  <c r="D154" i="1"/>
  <c r="E146" i="1"/>
  <c r="D146" i="1"/>
  <c r="E138" i="1"/>
  <c r="C138" i="1"/>
  <c r="E130" i="1"/>
  <c r="D130" i="1"/>
  <c r="C130" i="1"/>
  <c r="E122" i="1"/>
  <c r="D122" i="1"/>
  <c r="C122" i="1"/>
  <c r="E114" i="1"/>
  <c r="D114" i="1"/>
  <c r="C114" i="1"/>
  <c r="E106" i="1"/>
  <c r="D106" i="1"/>
  <c r="E98" i="1"/>
  <c r="D98" i="1"/>
  <c r="C98" i="1"/>
  <c r="E90" i="1"/>
  <c r="D90" i="1"/>
  <c r="E82" i="1"/>
  <c r="D82" i="1"/>
  <c r="C82" i="1"/>
  <c r="E74" i="1"/>
  <c r="D74" i="1"/>
  <c r="E66" i="1"/>
  <c r="D66" i="1"/>
  <c r="C66" i="1"/>
  <c r="E58" i="1"/>
  <c r="D58" i="1"/>
  <c r="E50" i="1"/>
  <c r="D50" i="1"/>
  <c r="C50" i="1"/>
  <c r="E42" i="1"/>
  <c r="D42" i="1"/>
  <c r="C42" i="1"/>
  <c r="E34" i="1"/>
  <c r="D34" i="1"/>
  <c r="E26" i="1"/>
  <c r="D26" i="1"/>
  <c r="E18" i="1"/>
  <c r="D18" i="1"/>
  <c r="C18" i="1"/>
  <c r="E10" i="1"/>
  <c r="D10" i="1"/>
  <c r="C10" i="1"/>
  <c r="C538" i="1"/>
  <c r="C215" i="1"/>
  <c r="C183" i="1"/>
  <c r="C154" i="1"/>
  <c r="C79" i="1"/>
  <c r="C26" i="1"/>
  <c r="D394" i="1"/>
  <c r="D138" i="1"/>
  <c r="E545" i="1"/>
  <c r="D545" i="1"/>
  <c r="D537" i="1"/>
  <c r="E537" i="1"/>
  <c r="D529" i="1"/>
  <c r="E529" i="1"/>
  <c r="E521" i="1"/>
  <c r="D521" i="1"/>
  <c r="E513" i="1"/>
  <c r="D513" i="1"/>
  <c r="D505" i="1"/>
  <c r="E505" i="1"/>
  <c r="E489" i="1"/>
  <c r="D489" i="1"/>
  <c r="E481" i="1"/>
  <c r="D481" i="1"/>
  <c r="D473" i="1"/>
  <c r="E473" i="1"/>
  <c r="D465" i="1"/>
  <c r="E465" i="1"/>
  <c r="E457" i="1"/>
  <c r="D457" i="1"/>
  <c r="E449" i="1"/>
  <c r="D449" i="1"/>
  <c r="D441" i="1"/>
  <c r="E441" i="1"/>
  <c r="D433" i="1"/>
  <c r="E433" i="1"/>
  <c r="E425" i="1"/>
  <c r="D425" i="1"/>
  <c r="E417" i="1"/>
  <c r="D417" i="1"/>
  <c r="D409" i="1"/>
  <c r="E409" i="1"/>
  <c r="D401" i="1"/>
  <c r="E401" i="1"/>
  <c r="E393" i="1"/>
  <c r="D393" i="1"/>
  <c r="E385" i="1"/>
  <c r="D385" i="1"/>
  <c r="D377" i="1"/>
  <c r="E377" i="1"/>
  <c r="E361" i="1"/>
  <c r="D361" i="1"/>
  <c r="E353" i="1"/>
  <c r="D353" i="1"/>
  <c r="D345" i="1"/>
  <c r="E345" i="1"/>
  <c r="D337" i="1"/>
  <c r="E337" i="1"/>
  <c r="E329" i="1"/>
  <c r="D329" i="1"/>
  <c r="E321" i="1"/>
  <c r="D321" i="1"/>
  <c r="D313" i="1"/>
  <c r="E313" i="1"/>
  <c r="D305" i="1"/>
  <c r="E305" i="1"/>
  <c r="E297" i="1"/>
  <c r="D297" i="1"/>
  <c r="E289" i="1"/>
  <c r="D289" i="1"/>
  <c r="D281" i="1"/>
  <c r="E281" i="1"/>
  <c r="D273" i="1"/>
  <c r="E273" i="1"/>
  <c r="E265" i="1"/>
  <c r="D265" i="1"/>
  <c r="E257" i="1"/>
  <c r="D257" i="1"/>
  <c r="D249" i="1"/>
  <c r="E249" i="1"/>
  <c r="E233" i="1"/>
  <c r="D233" i="1"/>
  <c r="E225" i="1"/>
  <c r="D225" i="1"/>
  <c r="D217" i="1"/>
  <c r="E217" i="1"/>
  <c r="C217" i="1"/>
  <c r="D209" i="1"/>
  <c r="C209" i="1"/>
  <c r="E209" i="1"/>
  <c r="E201" i="1"/>
  <c r="D201" i="1"/>
  <c r="C201" i="1"/>
  <c r="E193" i="1"/>
  <c r="D193" i="1"/>
  <c r="C193" i="1"/>
  <c r="D185" i="1"/>
  <c r="E185" i="1"/>
  <c r="C185" i="1"/>
  <c r="D177" i="1"/>
  <c r="C177" i="1"/>
  <c r="E177" i="1"/>
  <c r="E169" i="1"/>
  <c r="D169" i="1"/>
  <c r="C169" i="1"/>
  <c r="E161" i="1"/>
  <c r="D161" i="1"/>
  <c r="C161" i="1"/>
  <c r="D153" i="1"/>
  <c r="E153" i="1"/>
  <c r="C153" i="1"/>
  <c r="D145" i="1"/>
  <c r="C145" i="1"/>
  <c r="E145" i="1"/>
  <c r="E137" i="1"/>
  <c r="D137" i="1"/>
  <c r="C137" i="1"/>
  <c r="E129" i="1"/>
  <c r="D129" i="1"/>
  <c r="C129" i="1"/>
  <c r="D121" i="1"/>
  <c r="E121" i="1"/>
  <c r="C121" i="1"/>
  <c r="D113" i="1"/>
  <c r="C113" i="1"/>
  <c r="D105" i="1"/>
  <c r="E105" i="1"/>
  <c r="C105" i="1"/>
  <c r="D97" i="1"/>
  <c r="E97" i="1"/>
  <c r="C97" i="1"/>
  <c r="D89" i="1"/>
  <c r="E89" i="1"/>
  <c r="C89" i="1"/>
  <c r="D81" i="1"/>
  <c r="C81" i="1"/>
  <c r="E81" i="1"/>
  <c r="D73" i="1"/>
  <c r="E73" i="1"/>
  <c r="C73" i="1"/>
  <c r="D65" i="1"/>
  <c r="E65" i="1"/>
  <c r="C65" i="1"/>
  <c r="D57" i="1"/>
  <c r="E57" i="1"/>
  <c r="C57" i="1"/>
  <c r="D49" i="1"/>
  <c r="C49" i="1"/>
  <c r="E49" i="1"/>
  <c r="D41" i="1"/>
  <c r="E41" i="1"/>
  <c r="C41" i="1"/>
  <c r="D33" i="1"/>
  <c r="E33" i="1"/>
  <c r="C33" i="1"/>
  <c r="D25" i="1"/>
  <c r="E25" i="1"/>
  <c r="C25" i="1"/>
  <c r="D17" i="1"/>
  <c r="C17" i="1"/>
  <c r="E17" i="1"/>
  <c r="D9" i="1"/>
  <c r="E9" i="1"/>
  <c r="C9" i="1"/>
  <c r="C537" i="1"/>
  <c r="C522" i="1"/>
  <c r="C506" i="1"/>
  <c r="C490" i="1"/>
  <c r="C474" i="1"/>
  <c r="C458" i="1"/>
  <c r="C442" i="1"/>
  <c r="C426" i="1"/>
  <c r="C410" i="1"/>
  <c r="C394" i="1"/>
  <c r="C378" i="1"/>
  <c r="C362" i="1"/>
  <c r="C346" i="1"/>
  <c r="C330" i="1"/>
  <c r="C314" i="1"/>
  <c r="C298" i="1"/>
  <c r="C282" i="1"/>
  <c r="C266" i="1"/>
  <c r="C250" i="1"/>
  <c r="C234" i="1"/>
  <c r="C146" i="1"/>
  <c r="C7" i="1"/>
  <c r="D298" i="1"/>
  <c r="E369" i="1"/>
  <c r="E544" i="1"/>
  <c r="D544" i="1"/>
  <c r="C544" i="1"/>
  <c r="E536" i="1"/>
  <c r="D536" i="1"/>
  <c r="C536" i="1"/>
  <c r="E528" i="1"/>
  <c r="D528" i="1"/>
  <c r="C528" i="1"/>
  <c r="E520" i="1"/>
  <c r="D520" i="1"/>
  <c r="C520" i="1"/>
  <c r="E512" i="1"/>
  <c r="D512" i="1"/>
  <c r="C512" i="1"/>
  <c r="E504" i="1"/>
  <c r="D504" i="1"/>
  <c r="C504" i="1"/>
  <c r="E496" i="1"/>
  <c r="D496" i="1"/>
  <c r="C496" i="1"/>
  <c r="E488" i="1"/>
  <c r="D488" i="1"/>
  <c r="C488" i="1"/>
  <c r="E480" i="1"/>
  <c r="D480" i="1"/>
  <c r="C480" i="1"/>
  <c r="E472" i="1"/>
  <c r="D472" i="1"/>
  <c r="C472" i="1"/>
  <c r="E464" i="1"/>
  <c r="D464" i="1"/>
  <c r="C464" i="1"/>
  <c r="E456" i="1"/>
  <c r="D456" i="1"/>
  <c r="C456" i="1"/>
  <c r="E448" i="1"/>
  <c r="D448" i="1"/>
  <c r="C448" i="1"/>
  <c r="E440" i="1"/>
  <c r="D440" i="1"/>
  <c r="C440" i="1"/>
  <c r="E432" i="1"/>
  <c r="D432" i="1"/>
  <c r="C432" i="1"/>
  <c r="E424" i="1"/>
  <c r="D424" i="1"/>
  <c r="C424" i="1"/>
  <c r="E416" i="1"/>
  <c r="D416" i="1"/>
  <c r="C416" i="1"/>
  <c r="E408" i="1"/>
  <c r="D408" i="1"/>
  <c r="C408" i="1"/>
  <c r="E400" i="1"/>
  <c r="D400" i="1"/>
  <c r="C400" i="1"/>
  <c r="E392" i="1"/>
  <c r="D392" i="1"/>
  <c r="C392" i="1"/>
  <c r="E384" i="1"/>
  <c r="D384" i="1"/>
  <c r="C384" i="1"/>
  <c r="E376" i="1"/>
  <c r="D376" i="1"/>
  <c r="C376" i="1"/>
  <c r="E368" i="1"/>
  <c r="D368" i="1"/>
  <c r="C368" i="1"/>
  <c r="E360" i="1"/>
  <c r="D360" i="1"/>
  <c r="C360" i="1"/>
  <c r="E352" i="1"/>
  <c r="D352" i="1"/>
  <c r="C352" i="1"/>
  <c r="E344" i="1"/>
  <c r="D344" i="1"/>
  <c r="C344" i="1"/>
  <c r="E336" i="1"/>
  <c r="D336" i="1"/>
  <c r="C336" i="1"/>
  <c r="E328" i="1"/>
  <c r="D328" i="1"/>
  <c r="C328" i="1"/>
  <c r="E320" i="1"/>
  <c r="D320" i="1"/>
  <c r="C320" i="1"/>
  <c r="E312" i="1"/>
  <c r="D312" i="1"/>
  <c r="C312" i="1"/>
  <c r="E304" i="1"/>
  <c r="D304" i="1"/>
  <c r="C304" i="1"/>
  <c r="E296" i="1"/>
  <c r="D296" i="1"/>
  <c r="C296" i="1"/>
  <c r="E288" i="1"/>
  <c r="D288" i="1"/>
  <c r="C288" i="1"/>
  <c r="E280" i="1"/>
  <c r="D280" i="1"/>
  <c r="C280" i="1"/>
  <c r="E272" i="1"/>
  <c r="D272" i="1"/>
  <c r="C272" i="1"/>
  <c r="E264" i="1"/>
  <c r="D264" i="1"/>
  <c r="C264" i="1"/>
  <c r="E256" i="1"/>
  <c r="D256" i="1"/>
  <c r="C256" i="1"/>
  <c r="E248" i="1"/>
  <c r="D248" i="1"/>
  <c r="C248" i="1"/>
  <c r="E240" i="1"/>
  <c r="D240" i="1"/>
  <c r="C240" i="1"/>
  <c r="C535" i="1"/>
  <c r="C521" i="1"/>
  <c r="C505" i="1"/>
  <c r="C489" i="1"/>
  <c r="C473" i="1"/>
  <c r="C457" i="1"/>
  <c r="C441" i="1"/>
  <c r="C425" i="1"/>
  <c r="C409" i="1"/>
  <c r="C393" i="1"/>
  <c r="C377" i="1"/>
  <c r="C361" i="1"/>
  <c r="C345" i="1"/>
  <c r="C329" i="1"/>
  <c r="C313" i="1"/>
  <c r="C297" i="1"/>
  <c r="C281" i="1"/>
  <c r="C265" i="1"/>
  <c r="C249" i="1"/>
  <c r="C233" i="1"/>
  <c r="C143" i="1"/>
  <c r="C74" i="1"/>
  <c r="D458" i="1"/>
  <c r="D202" i="1"/>
  <c r="E92" i="1"/>
  <c r="D92" i="1"/>
  <c r="E84" i="1"/>
  <c r="D84" i="1"/>
  <c r="E76" i="1"/>
  <c r="D76" i="1"/>
  <c r="E68" i="1"/>
  <c r="D68" i="1"/>
  <c r="E60" i="1"/>
  <c r="D60" i="1"/>
  <c r="E52" i="1"/>
  <c r="D52" i="1"/>
  <c r="C52" i="1"/>
  <c r="E44" i="1"/>
  <c r="D44" i="1"/>
  <c r="C44" i="1"/>
  <c r="E36" i="1"/>
  <c r="D36" i="1"/>
  <c r="C36" i="1"/>
  <c r="E28" i="1"/>
  <c r="D28" i="1"/>
  <c r="C28" i="1"/>
  <c r="E20" i="1"/>
  <c r="D20" i="1"/>
  <c r="C20" i="1"/>
  <c r="E12" i="1"/>
  <c r="D12" i="1"/>
  <c r="C12" i="1"/>
  <c r="E4" i="1"/>
  <c r="D4" i="1"/>
  <c r="C4" i="1"/>
  <c r="C76" i="1"/>
  <c r="C60" i="1"/>
  <c r="E232" i="1"/>
  <c r="D232" i="1"/>
  <c r="E224" i="1"/>
  <c r="D224" i="1"/>
  <c r="E216" i="1"/>
  <c r="D216" i="1"/>
  <c r="C216" i="1"/>
  <c r="E208" i="1"/>
  <c r="D208" i="1"/>
  <c r="C208" i="1"/>
  <c r="E200" i="1"/>
  <c r="D200" i="1"/>
  <c r="C200" i="1"/>
  <c r="E192" i="1"/>
  <c r="D192" i="1"/>
  <c r="C192" i="1"/>
  <c r="E184" i="1"/>
  <c r="D184" i="1"/>
  <c r="C184" i="1"/>
  <c r="E176" i="1"/>
  <c r="D176" i="1"/>
  <c r="C176" i="1"/>
  <c r="E168" i="1"/>
  <c r="D168" i="1"/>
  <c r="C168" i="1"/>
  <c r="E160" i="1"/>
  <c r="D160" i="1"/>
  <c r="C160" i="1"/>
  <c r="E152" i="1"/>
  <c r="D152" i="1"/>
  <c r="C152" i="1"/>
  <c r="E144" i="1"/>
  <c r="D144" i="1"/>
  <c r="C144" i="1"/>
  <c r="E136" i="1"/>
  <c r="D136" i="1"/>
  <c r="C136" i="1"/>
  <c r="E128" i="1"/>
  <c r="D128" i="1"/>
  <c r="C128" i="1"/>
  <c r="E120" i="1"/>
  <c r="D120" i="1"/>
  <c r="C120" i="1"/>
  <c r="E112" i="1"/>
  <c r="C112" i="1"/>
  <c r="E104" i="1"/>
  <c r="D104" i="1"/>
  <c r="C104" i="1"/>
  <c r="E96" i="1"/>
  <c r="D96" i="1"/>
  <c r="C96" i="1"/>
  <c r="E88" i="1"/>
  <c r="D88" i="1"/>
  <c r="C88" i="1"/>
  <c r="E80" i="1"/>
  <c r="C80" i="1"/>
  <c r="E72" i="1"/>
  <c r="C72" i="1"/>
  <c r="E64" i="1"/>
  <c r="D64" i="1"/>
  <c r="C64" i="1"/>
  <c r="D56" i="1"/>
  <c r="E56" i="1"/>
  <c r="C56" i="1"/>
  <c r="D48" i="1"/>
  <c r="E48" i="1"/>
  <c r="C48" i="1"/>
  <c r="D40" i="1"/>
  <c r="E40" i="1"/>
  <c r="C40" i="1"/>
  <c r="D32" i="1"/>
  <c r="E32" i="1"/>
  <c r="C32" i="1"/>
  <c r="D24" i="1"/>
  <c r="E24" i="1"/>
  <c r="C24" i="1"/>
  <c r="D16" i="1"/>
  <c r="E16" i="1"/>
  <c r="C16" i="1"/>
  <c r="D8" i="1"/>
  <c r="E8" i="1"/>
  <c r="C8" i="1"/>
  <c r="C84" i="1"/>
  <c r="C68" i="1"/>
  <c r="D80" i="1"/>
</calcChain>
</file>

<file path=xl/sharedStrings.xml><?xml version="1.0" encoding="utf-8"?>
<sst xmlns="http://schemas.openxmlformats.org/spreadsheetml/2006/main" count="1813" uniqueCount="638">
  <si>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</si>
  <si>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</si>
  <si>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</si>
  <si>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</si>
  <si>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</si>
  <si>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</si>
  <si>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</si>
  <si>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</si>
  <si>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</si>
  <si>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</si>
  <si>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</si>
  <si>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</si>
  <si>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</si>
  <si>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</si>
  <si>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</si>
  <si>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</si>
  <si>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</si>
  <si>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</si>
  <si>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</si>
  <si>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</si>
  <si>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</si>
  <si>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</si>
  <si>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</si>
  <si>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</si>
  <si>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</si>
  <si>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</si>
  <si>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</si>
  <si>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</si>
  <si>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</si>
  <si>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</si>
  <si>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</si>
  <si>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</si>
  <si>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</si>
  <si>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</si>
  <si>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</si>
  <si>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</si>
  <si>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</si>
  <si>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</si>
  <si>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</si>
  <si>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</si>
  <si>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</si>
  <si>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</si>
  <si>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</si>
  <si>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</si>
  <si>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</si>
  <si>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</si>
  <si>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</si>
  <si>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</si>
  <si>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</si>
  <si>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</si>
  <si>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</si>
  <si>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</si>
  <si>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</si>
  <si>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</si>
  <si>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</si>
  <si>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</si>
  <si>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</si>
  <si>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</si>
  <si>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</si>
  <si>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</si>
  <si>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</si>
  <si>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</si>
  <si>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</si>
  <si>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</si>
  <si>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</si>
  <si>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</si>
  <si>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</si>
  <si>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</si>
  <si>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</si>
  <si>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</si>
  <si>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</si>
  <si>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</si>
  <si>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</si>
  <si>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</si>
  <si>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</si>
  <si>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</si>
  <si>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</si>
  <si>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</si>
  <si>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</si>
  <si>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</si>
  <si>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</si>
  <si>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</si>
  <si>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</si>
  <si>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</si>
  <si>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</si>
  <si>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</si>
  <si>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</si>
  <si>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</si>
  <si>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</si>
  <si>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</si>
  <si>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</si>
  <si>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</si>
  <si>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</si>
  <si>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</si>
  <si>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</si>
  <si>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</si>
  <si>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</si>
  <si>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</si>
  <si>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</si>
  <si>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</si>
  <si>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</si>
  <si>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</si>
  <si>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</si>
  <si>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</si>
  <si>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</si>
  <si>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</si>
  <si>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</si>
  <si>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</si>
  <si>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</si>
  <si>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</si>
  <si>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</si>
  <si>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</si>
  <si>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</si>
  <si>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</si>
  <si>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</si>
  <si>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</si>
  <si>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</si>
  <si>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</si>
  <si>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</si>
  <si>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</si>
  <si>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</si>
  <si>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</si>
  <si>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</si>
  <si>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</si>
  <si>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</si>
  <si>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</si>
  <si>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</si>
  <si>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</si>
  <si>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</si>
  <si>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</si>
  <si>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</si>
  <si>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</si>
  <si>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</si>
  <si>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</si>
  <si>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</si>
  <si>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</si>
  <si>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</si>
  <si>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</si>
  <si>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</si>
  <si>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</si>
  <si>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</si>
  <si>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</si>
  <si>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</si>
  <si>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</si>
  <si>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</si>
  <si>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</si>
  <si>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</si>
  <si>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</si>
  <si>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</si>
  <si>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</si>
  <si>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</si>
  <si>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</si>
  <si>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</si>
  <si>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</si>
  <si>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</si>
  <si>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</si>
  <si>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</si>
  <si>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</si>
  <si>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</si>
  <si>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</si>
  <si>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</si>
  <si>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</si>
  <si>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</si>
  <si>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</si>
  <si>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</si>
  <si>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</si>
  <si>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</si>
  <si>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</si>
  <si>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</si>
  <si>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</si>
  <si>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</si>
  <si>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</si>
  <si>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</si>
  <si>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</si>
  <si>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</si>
  <si>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</si>
  <si>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</si>
  <si>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</si>
  <si>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</si>
  <si>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</si>
  <si>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</si>
  <si>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</si>
  <si>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</si>
  <si>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</si>
  <si>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</si>
  <si>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</si>
  <si>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</si>
  <si>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</si>
  <si>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</si>
  <si>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</si>
  <si>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</si>
  <si>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</si>
  <si>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</si>
  <si>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</si>
  <si>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</si>
  <si>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</si>
  <si>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</si>
  <si>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</si>
  <si>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</si>
  <si>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</si>
  <si>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</si>
  <si>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</si>
  <si>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</si>
  <si>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</si>
  <si>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</si>
  <si>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</si>
  <si>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</si>
  <si>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</si>
  <si>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</si>
  <si>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</si>
  <si>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</si>
  <si>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</si>
  <si>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</si>
  <si>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</si>
  <si>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</si>
  <si>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</si>
  <si>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</si>
  <si>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</si>
  <si>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</si>
  <si>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</si>
  <si>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</si>
  <si>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</si>
  <si>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</si>
  <si>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</si>
  <si>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</si>
  <si>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</si>
  <si>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</si>
  <si>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</si>
  <si>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</si>
  <si>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</si>
  <si>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</si>
  <si>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</si>
  <si>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</si>
  <si>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</si>
  <si>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</si>
  <si>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</si>
  <si>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</si>
  <si>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</si>
  <si>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</si>
  <si>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</si>
  <si>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</si>
  <si>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</si>
  <si>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</si>
  <si>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</si>
  <si>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</si>
  <si>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</si>
  <si>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</si>
  <si>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</si>
  <si>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</si>
  <si>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</si>
  <si>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</si>
  <si>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</si>
  <si>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</si>
  <si>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</si>
  <si>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</si>
  <si>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</si>
  <si>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</si>
  <si>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</si>
  <si>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</si>
  <si>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</si>
  <si>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</si>
  <si>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</si>
  <si>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</si>
  <si>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</si>
  <si>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</si>
  <si>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</si>
  <si>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</si>
  <si>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</si>
  <si>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</si>
  <si>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</si>
  <si>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</si>
  <si>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</si>
  <si>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</si>
  <si>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</si>
  <si>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</si>
  <si>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</si>
  <si>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</si>
  <si>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</si>
  <si>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</si>
  <si>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</si>
  <si>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</si>
  <si>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</si>
  <si>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</si>
  <si>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</si>
  <si>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</si>
  <si>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</si>
  <si>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</si>
  <si>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</si>
  <si>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</si>
  <si>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</si>
  <si>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</si>
  <si>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</si>
  <si>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</si>
  <si>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</si>
  <si>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</si>
  <si>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</si>
  <si>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</si>
  <si>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</si>
  <si>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</si>
  <si>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</si>
  <si>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</si>
  <si>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</si>
  <si>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</si>
  <si>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</si>
  <si>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</si>
  <si>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</si>
  <si>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</si>
  <si>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</si>
  <si>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</si>
  <si>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</si>
  <si>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</si>
  <si>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</si>
  <si>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</si>
  <si>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</si>
  <si>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</si>
  <si>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</si>
  <si>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</si>
  <si>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</si>
  <si>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</si>
  <si>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</si>
  <si>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</si>
  <si>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</si>
  <si>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</si>
  <si>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</si>
  <si>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</si>
  <si>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</si>
  <si>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</si>
  <si>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</si>
  <si>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</si>
  <si>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</si>
  <si>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</si>
  <si>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</si>
  <si>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</si>
  <si>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</si>
  <si>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</si>
  <si>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</si>
  <si>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</si>
  <si>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</si>
  <si>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</si>
  <si>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</si>
  <si>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</si>
  <si>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</si>
  <si>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</si>
  <si>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</si>
  <si>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</si>
  <si>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</si>
  <si>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</si>
  <si>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</si>
  <si>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</si>
  <si>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</si>
  <si>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</si>
  <si>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</si>
  <si>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</si>
  <si>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</si>
  <si>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</si>
  <si>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</si>
  <si>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</si>
  <si>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</si>
  <si>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</si>
  <si>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</si>
  <si>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</si>
  <si>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</si>
  <si>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</si>
  <si>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</si>
  <si>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</si>
  <si>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</si>
  <si>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</si>
  <si>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</si>
  <si>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</si>
  <si>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</si>
  <si>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</si>
  <si>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</si>
  <si>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</si>
  <si>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</si>
  <si>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</si>
  <si>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</si>
  <si>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</si>
  <si>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</si>
  <si>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</si>
  <si>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</si>
  <si>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</si>
  <si>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</si>
  <si>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</si>
  <si>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</si>
  <si>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</si>
  <si>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</si>
  <si>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</si>
  <si>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</si>
  <si>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</si>
  <si>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</si>
  <si>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</si>
  <si>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</si>
  <si>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</si>
  <si>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</si>
  <si>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</si>
  <si>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</si>
  <si>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</si>
  <si>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</si>
  <si>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</si>
  <si>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</si>
  <si>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</si>
  <si>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</si>
  <si>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</si>
  <si>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</si>
  <si>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</si>
  <si>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</si>
  <si>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</si>
  <si>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</si>
  <si>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</si>
  <si>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</si>
  <si>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</si>
  <si>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</si>
  <si>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</si>
  <si>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</si>
  <si>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</si>
  <si>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</si>
  <si>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</si>
  <si>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</si>
  <si>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</si>
  <si>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</si>
  <si>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</si>
  <si>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</si>
  <si>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</si>
  <si>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</si>
  <si>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</si>
  <si>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</si>
  <si>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</si>
  <si>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</si>
  <si>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</si>
  <si>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</si>
  <si>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</si>
  <si>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</si>
  <si>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</si>
  <si>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</si>
  <si>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</si>
  <si>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</si>
  <si>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</si>
  <si>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</si>
  <si>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</si>
  <si>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</si>
  <si>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</si>
  <si>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</si>
  <si>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</si>
  <si>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</si>
  <si>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</si>
  <si>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</si>
  <si>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</si>
  <si>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</si>
  <si>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</si>
  <si>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</si>
  <si>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</si>
  <si>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</si>
  <si>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</si>
  <si>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</si>
  <si>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</si>
  <si>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</si>
  <si>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</si>
  <si>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</si>
  <si>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</si>
  <si>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</si>
  <si>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</si>
  <si>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</si>
  <si>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</si>
  <si>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</si>
  <si>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</si>
  <si>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</si>
  <si>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</si>
  <si>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</si>
  <si>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</si>
  <si>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</si>
  <si>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</si>
  <si>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</si>
  <si>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</si>
  <si>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</si>
  <si>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</si>
  <si>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</si>
  <si>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</si>
  <si>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</si>
  <si>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</si>
  <si>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</si>
  <si>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</si>
  <si>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</si>
  <si>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</si>
  <si>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</si>
  <si>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</si>
  <si>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</si>
  <si>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</si>
  <si>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</si>
  <si>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</si>
  <si>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</si>
  <si>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</si>
  <si>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</si>
  <si>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</si>
  <si>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</si>
  <si>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</si>
  <si>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</si>
  <si>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</si>
  <si>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</si>
  <si>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</si>
  <si>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</si>
  <si>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</si>
  <si>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</si>
  <si>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</si>
  <si>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</si>
  <si>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</si>
  <si>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</si>
  <si>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</si>
  <si>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</si>
  <si>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</si>
  <si>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</si>
  <si>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</si>
  <si>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</si>
  <si>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</si>
  <si>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</si>
  <si>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</si>
  <si>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</si>
  <si>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</si>
  <si>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</si>
  <si>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</si>
  <si>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</si>
  <si>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</si>
  <si>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</si>
  <si>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</si>
  <si>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</si>
  <si>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</si>
  <si>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</si>
  <si>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</si>
  <si>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</si>
  <si>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</si>
  <si>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</si>
  <si>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</si>
  <si>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</si>
  <si>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</si>
  <si>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</si>
  <si>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</si>
  <si>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</si>
  <si>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</si>
  <si>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</si>
  <si>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</si>
  <si>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</si>
  <si>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</si>
  <si>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</si>
  <si>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</si>
  <si>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</si>
  <si>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</si>
  <si>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</si>
  <si>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</si>
  <si>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</si>
  <si>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</si>
  <si>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</si>
  <si>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</si>
  <si>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</si>
  <si>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</si>
  <si>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</si>
  <si>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</si>
  <si>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</si>
  <si>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</si>
  <si>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</si>
  <si>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</si>
  <si>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</si>
  <si>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</si>
  <si>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</si>
  <si>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</si>
  <si>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</si>
  <si>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</si>
  <si>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</si>
  <si>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</si>
  <si>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</si>
  <si>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</si>
  <si>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</si>
  <si>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</si>
  <si>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</si>
  <si>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</si>
  <si>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</si>
  <si>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</si>
  <si>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</si>
  <si>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</si>
  <si>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</si>
  <si>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</si>
  <si>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</si>
  <si>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</si>
  <si>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</si>
  <si>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</si>
  <si>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</si>
  <si>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</si>
  <si>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</si>
  <si>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</si>
  <si>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</si>
  <si>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</si>
  <si>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</si>
  <si>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</si>
  <si>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</si>
  <si>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</si>
  <si>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</si>
  <si>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</si>
  <si>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</si>
  <si>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</si>
  <si>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</si>
  <si>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</si>
  <si>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</si>
  <si>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</si>
  <si>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</si>
  <si>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</si>
  <si>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</si>
  <si>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</si>
  <si>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</si>
  <si>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</si>
  <si>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</si>
  <si>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</si>
  <si>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</si>
  <si>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</si>
  <si>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</si>
  <si>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</si>
  <si>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</si>
  <si>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</si>
  <si>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</si>
  <si>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 xml:space="preserve">MDR Fee </t>
  </si>
  <si>
    <t>txn_date</t>
  </si>
  <si>
    <t>Is_First_Merchant_Day</t>
  </si>
  <si>
    <t>Grand Total</t>
  </si>
  <si>
    <t>Total Amount</t>
  </si>
  <si>
    <t>Transaction_Count</t>
  </si>
  <si>
    <t>MDR_Fee</t>
  </si>
  <si>
    <t>tranaction_date</t>
  </si>
  <si>
    <t>Fee_amount</t>
  </si>
  <si>
    <t>Merchant_Total_Day</t>
  </si>
  <si>
    <t>Classification</t>
  </si>
  <si>
    <t>Total_Captured</t>
  </si>
  <si>
    <t>Count_captured</t>
  </si>
  <si>
    <t>Total_failed</t>
  </si>
  <si>
    <t>Count_failed</t>
  </si>
  <si>
    <t>Total_chargebck</t>
  </si>
  <si>
    <t>Count_chargeback</t>
  </si>
  <si>
    <t>Total_all_Status</t>
  </si>
  <si>
    <t>Count_all_status</t>
  </si>
  <si>
    <t>Total_Transaction_Count</t>
  </si>
  <si>
    <t>Unique_Days_Transacted</t>
  </si>
  <si>
    <t>Repeat_Day_Ratio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</si>
</sst>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0" fontId="2" fillId="0" borderId="1" xfId="0" applyNumberFormat="1" applyFont="1" applyBorder="1" applyAlignment="1">
      <alignment horizontal="left" vertical="center" wrapText="1" indent="1" readingOrder="1"/>
    </xf>
    <xf numFmtId="14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3" fillId="0" borderId="0" xfId="0" applyFont="1"/>
    <xf numFmtId="0" fontId="3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indent="1" readingOrder="1"/>
    </xf>
    <xf numFmtId="2" fontId="0" fillId="0" borderId="0" xfId="0" applyNumberForma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Kumar" refreshedDate="46259.502472569446" createdVersion="8" refreshedVersion="8" minRefreshableVersion="3" recordCount="547" xr:uid="{D55BBD55-7042-45D6-8D50-3B2E85071C1D}">
  <cacheSource type="worksheet">
    <worksheetSource ref="A1:J548" sheet="ledger"/>
  </cacheSource>
  <cacheFields count="10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/>
    </cacheField>
    <cacheField name="risk_score" numFmtId="0">
      <sharedItems containsSemiMixedTypes="0" containsString="0" containsNumber="1" containsInteger="1" minValue="0" maxValue="100"/>
    </cacheField>
    <cacheField name="txn_date" numFmtId="14">
      <sharedItems containsSemiMixedTypes="0" containsNonDate="0" containsDate="1" containsString="0" minDate="2026-01-01T00:00:00" maxDate="2026-01-31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  <cacheField name="Is_First_Merchant_Da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d v="2026-01-29T11:13:00"/>
    <n v="2999"/>
    <s v="Wallet"/>
    <s v="captured"/>
    <n v="85"/>
    <x v="0"/>
    <n v="1"/>
  </r>
  <r>
    <s v="TXN100001"/>
    <n v="287"/>
    <x v="1"/>
    <d v="2026-01-04T11:49:00"/>
    <n v="49"/>
    <s v="UPI"/>
    <s v="captured"/>
    <n v="79"/>
    <x v="1"/>
    <n v="1"/>
  </r>
  <r>
    <s v="TXN100002"/>
    <n v="122"/>
    <x v="2"/>
    <d v="2026-01-24T04:59:00"/>
    <n v="1499"/>
    <s v="Wallet"/>
    <s v="captured"/>
    <n v="22"/>
    <x v="2"/>
    <n v="1"/>
  </r>
  <r>
    <s v="TXN100003"/>
    <n v="92"/>
    <x v="3"/>
    <d v="2026-01-29T13:01:00"/>
    <n v="49"/>
    <s v="Netbanking"/>
    <s v="captured"/>
    <n v="100"/>
    <x v="0"/>
    <n v="1"/>
  </r>
  <r>
    <s v="TXN100004"/>
    <n v="343"/>
    <x v="0"/>
    <d v="2026-01-30T13:51:00"/>
    <n v="99"/>
    <s v="UPI"/>
    <s v="captured"/>
    <n v="34"/>
    <x v="3"/>
    <n v="1"/>
  </r>
  <r>
    <s v="TXN100005"/>
    <n v="196"/>
    <x v="4"/>
    <d v="2026-01-06T22:06:00"/>
    <n v="99"/>
    <s v="UPI"/>
    <s v="captured"/>
    <n v="60"/>
    <x v="4"/>
    <n v="1"/>
  </r>
  <r>
    <s v="TXN100006"/>
    <n v="236"/>
    <x v="5"/>
    <d v="2026-01-08T06:52:00"/>
    <n v="99"/>
    <s v="Wallet"/>
    <s v="captured"/>
    <n v="39"/>
    <x v="5"/>
    <n v="1"/>
  </r>
  <r>
    <s v="TXN100007"/>
    <n v="13"/>
    <x v="6"/>
    <d v="2026-01-27T07:14:00"/>
    <n v="99"/>
    <s v="UPI"/>
    <s v="captured"/>
    <n v="51"/>
    <x v="6"/>
    <n v="1"/>
  </r>
  <r>
    <s v="TXN100008"/>
    <n v="36"/>
    <x v="7"/>
    <d v="2026-01-11T08:55:00"/>
    <n v="799"/>
    <s v="UPI"/>
    <s v="captured"/>
    <n v="44"/>
    <x v="7"/>
    <n v="1"/>
  </r>
  <r>
    <s v="TXN100009"/>
    <n v="348"/>
    <x v="8"/>
    <d v="2026-01-21T16:25:00"/>
    <n v="299"/>
    <s v="UPI"/>
    <s v="captured"/>
    <n v="42"/>
    <x v="8"/>
    <n v="1"/>
  </r>
  <r>
    <s v="TXN100010"/>
    <n v="134"/>
    <x v="9"/>
    <d v="2026-01-01T03:56:00"/>
    <n v="49"/>
    <s v="UPI"/>
    <s v="captured"/>
    <n v="74"/>
    <x v="9"/>
    <n v="1"/>
  </r>
  <r>
    <s v="TXN100011"/>
    <n v="306"/>
    <x v="10"/>
    <d v="2026-01-09T01:06:00"/>
    <n v="2999"/>
    <s v="Card"/>
    <s v="failed"/>
    <n v="44"/>
    <x v="10"/>
    <n v="1"/>
  </r>
  <r>
    <s v="TXN100012"/>
    <n v="311"/>
    <x v="11"/>
    <d v="2026-01-24T10:27:00"/>
    <n v="49"/>
    <s v="Wallet"/>
    <s v="captured"/>
    <n v="14"/>
    <x v="2"/>
    <n v="1"/>
  </r>
  <r>
    <s v="TXN100013"/>
    <n v="131"/>
    <x v="4"/>
    <d v="2026-01-13T18:12:00"/>
    <n v="49"/>
    <s v="UPI"/>
    <s v="captured"/>
    <n v="90"/>
    <x v="11"/>
    <n v="1"/>
  </r>
  <r>
    <s v="TXN100014"/>
    <n v="276"/>
    <x v="6"/>
    <d v="2026-01-14T00:33:00"/>
    <n v="1499"/>
    <s v="UPI"/>
    <s v="captured"/>
    <n v="46"/>
    <x v="12"/>
    <n v="1"/>
  </r>
  <r>
    <s v="TXN100015"/>
    <n v="170"/>
    <x v="12"/>
    <d v="2026-01-14T02:42:00"/>
    <n v="99"/>
    <s v="UPI"/>
    <s v="captured"/>
    <n v="40"/>
    <x v="12"/>
    <n v="1"/>
  </r>
  <r>
    <s v="TXN100016"/>
    <n v="154"/>
    <x v="11"/>
    <d v="2026-01-22T03:46:00"/>
    <n v="99"/>
    <s v="Netbanking"/>
    <s v="captured"/>
    <n v="39"/>
    <x v="13"/>
    <n v="1"/>
  </r>
  <r>
    <s v="TXN100017"/>
    <n v="207"/>
    <x v="13"/>
    <d v="2026-01-22T13:20:00"/>
    <n v="2999"/>
    <s v="Card"/>
    <s v="captured"/>
    <n v="70"/>
    <x v="13"/>
    <n v="1"/>
  </r>
  <r>
    <s v="TXN100018"/>
    <n v="341"/>
    <x v="14"/>
    <d v="2026-01-05T06:26:00"/>
    <n v="2999"/>
    <s v="UPI"/>
    <s v="captured"/>
    <n v="86"/>
    <x v="14"/>
    <n v="1"/>
  </r>
  <r>
    <s v="TXN100019"/>
    <n v="292"/>
    <x v="15"/>
    <d v="2026-01-24T05:39:00"/>
    <n v="49"/>
    <s v="UPI"/>
    <s v="captured"/>
    <n v="51"/>
    <x v="2"/>
    <n v="1"/>
  </r>
  <r>
    <s v="TXN100020"/>
    <n v="147"/>
    <x v="16"/>
    <d v="2026-01-18T00:19:00"/>
    <n v="99"/>
    <s v="Card"/>
    <s v="captured"/>
    <n v="55"/>
    <x v="15"/>
    <n v="1"/>
  </r>
  <r>
    <s v="TXN100021"/>
    <n v="336"/>
    <x v="17"/>
    <d v="2026-01-26T18:38:00"/>
    <n v="99"/>
    <s v="UPI"/>
    <s v="captured"/>
    <n v="59"/>
    <x v="16"/>
    <n v="1"/>
  </r>
  <r>
    <s v="TXN100022"/>
    <n v="110"/>
    <x v="11"/>
    <d v="2026-01-15T14:43:00"/>
    <n v="799"/>
    <s v="UPI"/>
    <s v="captured"/>
    <n v="60"/>
    <x v="17"/>
    <n v="1"/>
  </r>
  <r>
    <s v="TXN100023"/>
    <n v="338"/>
    <x v="18"/>
    <d v="2026-01-26T23:10:00"/>
    <n v="799"/>
    <s v="UPI"/>
    <s v="chargeback"/>
    <n v="36"/>
    <x v="16"/>
    <n v="1"/>
  </r>
  <r>
    <s v="TXN100024"/>
    <n v="318"/>
    <x v="3"/>
    <d v="2026-01-17T21:40:00"/>
    <n v="799"/>
    <s v="Wallet"/>
    <s v="captured"/>
    <n v="11"/>
    <x v="18"/>
    <n v="1"/>
  </r>
  <r>
    <s v="TXN100025"/>
    <n v="159"/>
    <x v="19"/>
    <d v="2026-01-27T07:43:00"/>
    <n v="799"/>
    <s v="UPI"/>
    <s v="captured"/>
    <n v="25"/>
    <x v="6"/>
    <n v="1"/>
  </r>
  <r>
    <s v="TXN100026"/>
    <n v="126"/>
    <x v="20"/>
    <d v="2026-01-05T00:02:00"/>
    <n v="49"/>
    <s v="Card"/>
    <s v="captured"/>
    <n v="78"/>
    <x v="14"/>
    <n v="1"/>
  </r>
  <r>
    <s v="TXN100027"/>
    <n v="213"/>
    <x v="21"/>
    <d v="2026-01-28T02:29:00"/>
    <n v="99"/>
    <s v="UPI"/>
    <s v="captured"/>
    <n v="24"/>
    <x v="19"/>
    <n v="1"/>
  </r>
  <r>
    <s v="TXN100028"/>
    <n v="254"/>
    <x v="22"/>
    <d v="2026-01-23T22:24:00"/>
    <n v="99"/>
    <s v="Wallet"/>
    <s v="captured"/>
    <n v="31"/>
    <x v="20"/>
    <n v="1"/>
  </r>
  <r>
    <s v="TXN100029"/>
    <n v="3"/>
    <x v="23"/>
    <d v="2026-01-05T20:44:00"/>
    <n v="1499"/>
    <s v="UPI"/>
    <s v="captured"/>
    <n v="99"/>
    <x v="14"/>
    <n v="1"/>
  </r>
  <r>
    <s v="TXN100030"/>
    <n v="266"/>
    <x v="24"/>
    <d v="2026-01-14T07:11:00"/>
    <n v="499"/>
    <s v="Card"/>
    <s v="captured"/>
    <n v="6"/>
    <x v="12"/>
    <n v="1"/>
  </r>
  <r>
    <s v="TXN100031"/>
    <n v="63"/>
    <x v="24"/>
    <d v="2026-01-18T07:58:00"/>
    <n v="799"/>
    <s v="UPI"/>
    <s v="captured"/>
    <n v="17"/>
    <x v="15"/>
    <n v="1"/>
  </r>
  <r>
    <s v="TXN100032"/>
    <n v="272"/>
    <x v="25"/>
    <d v="2026-01-26T14:42:00"/>
    <n v="149"/>
    <s v="UPI"/>
    <s v="captured"/>
    <n v="76"/>
    <x v="16"/>
    <n v="1"/>
  </r>
  <r>
    <s v="TXN100033"/>
    <n v="259"/>
    <x v="10"/>
    <d v="2026-01-11T14:39:00"/>
    <n v="49"/>
    <s v="Wallet"/>
    <s v="captured"/>
    <n v="70"/>
    <x v="7"/>
    <n v="1"/>
  </r>
  <r>
    <s v="TXN100034"/>
    <n v="244"/>
    <x v="26"/>
    <d v="2026-01-15T05:47:00"/>
    <n v="299"/>
    <s v="Netbanking"/>
    <s v="captured"/>
    <n v="33"/>
    <x v="17"/>
    <n v="1"/>
  </r>
  <r>
    <s v="TXN100035"/>
    <n v="327"/>
    <x v="7"/>
    <d v="2026-01-25T07:53:00"/>
    <n v="149"/>
    <s v="Card"/>
    <s v="captured"/>
    <n v="98"/>
    <x v="21"/>
    <n v="1"/>
  </r>
  <r>
    <s v="TXN100036"/>
    <n v="321"/>
    <x v="0"/>
    <d v="2026-01-25T16:31:00"/>
    <n v="49"/>
    <s v="UPI"/>
    <s v="captured"/>
    <n v="35"/>
    <x v="21"/>
    <n v="1"/>
  </r>
  <r>
    <s v="TXN100037"/>
    <n v="147"/>
    <x v="0"/>
    <d v="2026-01-15T02:45:00"/>
    <n v="2999"/>
    <s v="Card"/>
    <s v="captured"/>
    <n v="34"/>
    <x v="17"/>
    <n v="1"/>
  </r>
  <r>
    <s v="TXN100038"/>
    <n v="277"/>
    <x v="18"/>
    <d v="2026-01-11T10:57:00"/>
    <n v="1499"/>
    <s v="Card"/>
    <s v="captured"/>
    <n v="17"/>
    <x v="7"/>
    <n v="1"/>
  </r>
  <r>
    <s v="TXN100039"/>
    <n v="79"/>
    <x v="16"/>
    <d v="2026-01-05T07:24:00"/>
    <n v="1499"/>
    <s v="UPI"/>
    <s v="captured"/>
    <n v="8"/>
    <x v="14"/>
    <n v="1"/>
  </r>
  <r>
    <s v="TXN100040"/>
    <n v="278"/>
    <x v="24"/>
    <d v="2026-01-14T13:21:00"/>
    <n v="1499"/>
    <s v="UPI"/>
    <s v="captured"/>
    <n v="53"/>
    <x v="12"/>
    <n v="0"/>
  </r>
  <r>
    <s v="TXN100041"/>
    <n v="216"/>
    <x v="14"/>
    <d v="2026-01-02T06:53:00"/>
    <n v="99"/>
    <s v="UPI"/>
    <s v="captured"/>
    <n v="98"/>
    <x v="22"/>
    <n v="1"/>
  </r>
  <r>
    <s v="TXN100042"/>
    <n v="295"/>
    <x v="14"/>
    <d v="2026-01-19T22:01:00"/>
    <n v="1499"/>
    <s v="UPI"/>
    <s v="captured"/>
    <n v="61"/>
    <x v="23"/>
    <n v="1"/>
  </r>
  <r>
    <s v="TXN100043"/>
    <n v="200"/>
    <x v="1"/>
    <d v="2026-01-01T11:19:00"/>
    <n v="149"/>
    <s v="UPI"/>
    <s v="captured"/>
    <n v="68"/>
    <x v="9"/>
    <n v="1"/>
  </r>
  <r>
    <s v="TXN100044"/>
    <n v="309"/>
    <x v="19"/>
    <d v="2026-01-24T23:34:00"/>
    <n v="99"/>
    <s v="Netbanking"/>
    <s v="captured"/>
    <n v="62"/>
    <x v="2"/>
    <n v="1"/>
  </r>
  <r>
    <s v="TXN100045"/>
    <n v="249"/>
    <x v="27"/>
    <d v="2026-01-08T08:27:00"/>
    <n v="299"/>
    <s v="Wallet"/>
    <s v="captured"/>
    <n v="49"/>
    <x v="5"/>
    <n v="1"/>
  </r>
  <r>
    <s v="TXN100046"/>
    <n v="208"/>
    <x v="2"/>
    <d v="2026-01-11T21:43:00"/>
    <n v="4999"/>
    <s v="Netbanking"/>
    <s v="captured"/>
    <n v="59"/>
    <x v="7"/>
    <n v="1"/>
  </r>
  <r>
    <s v="TXN100047"/>
    <n v="274"/>
    <x v="27"/>
    <d v="2026-01-30T04:39:00"/>
    <n v="299"/>
    <s v="UPI"/>
    <s v="captured"/>
    <n v="50"/>
    <x v="3"/>
    <n v="1"/>
  </r>
  <r>
    <s v="TXN100048"/>
    <n v="14"/>
    <x v="18"/>
    <d v="2026-01-19T18:42:00"/>
    <n v="49"/>
    <s v="Wallet"/>
    <s v="captured"/>
    <n v="82"/>
    <x v="23"/>
    <n v="1"/>
  </r>
  <r>
    <s v="TXN100049"/>
    <n v="237"/>
    <x v="9"/>
    <d v="2026-01-14T04:55:00"/>
    <n v="49"/>
    <s v="UPI"/>
    <s v="captured"/>
    <n v="6"/>
    <x v="12"/>
    <n v="1"/>
  </r>
  <r>
    <s v="TXN100050"/>
    <n v="109"/>
    <x v="24"/>
    <d v="2026-01-09T12:20:00"/>
    <n v="99"/>
    <s v="UPI"/>
    <s v="captured"/>
    <n v="41"/>
    <x v="10"/>
    <n v="1"/>
  </r>
  <r>
    <s v="TXN100051"/>
    <n v="216"/>
    <x v="28"/>
    <d v="2026-01-11T12:17:00"/>
    <n v="4999"/>
    <s v="UPI"/>
    <s v="captured"/>
    <n v="10"/>
    <x v="7"/>
    <n v="1"/>
  </r>
  <r>
    <s v="TXN100052"/>
    <n v="277"/>
    <x v="29"/>
    <d v="2026-01-16T00:47:00"/>
    <n v="799"/>
    <s v="UPI"/>
    <s v="captured"/>
    <n v="44"/>
    <x v="24"/>
    <n v="1"/>
  </r>
  <r>
    <s v="TXN100053"/>
    <n v="334"/>
    <x v="4"/>
    <d v="2026-01-08T20:04:00"/>
    <n v="149"/>
    <s v="Wallet"/>
    <s v="captured"/>
    <n v="96"/>
    <x v="5"/>
    <n v="1"/>
  </r>
  <r>
    <s v="TXN100054"/>
    <n v="11"/>
    <x v="12"/>
    <d v="2026-01-01T07:12:00"/>
    <n v="299"/>
    <s v="UPI"/>
    <s v="captured"/>
    <n v="19"/>
    <x v="9"/>
    <n v="1"/>
  </r>
  <r>
    <s v="TXN100055"/>
    <n v="343"/>
    <x v="30"/>
    <d v="2026-01-08T04:30:00"/>
    <n v="99"/>
    <s v="UPI"/>
    <s v="captured"/>
    <n v="72"/>
    <x v="5"/>
    <n v="1"/>
  </r>
  <r>
    <s v="TXN100056"/>
    <n v="132"/>
    <x v="31"/>
    <d v="2026-01-07T14:44:00"/>
    <n v="299"/>
    <s v="Wallet"/>
    <s v="captured"/>
    <n v="21"/>
    <x v="25"/>
    <n v="1"/>
  </r>
  <r>
    <s v="TXN100057"/>
    <n v="59"/>
    <x v="2"/>
    <d v="2026-01-20T19:47:00"/>
    <n v="299"/>
    <s v="UPI"/>
    <s v="captured"/>
    <n v="39"/>
    <x v="26"/>
    <n v="1"/>
  </r>
  <r>
    <s v="TXN100058"/>
    <n v="160"/>
    <x v="21"/>
    <d v="2026-01-04T18:01:00"/>
    <n v="49"/>
    <s v="Wallet"/>
    <s v="captured"/>
    <n v="86"/>
    <x v="1"/>
    <n v="1"/>
  </r>
  <r>
    <s v="TXN100059"/>
    <n v="102"/>
    <x v="32"/>
    <d v="2026-01-30T12:25:00"/>
    <n v="2999"/>
    <s v="UPI"/>
    <s v="captured"/>
    <n v="75"/>
    <x v="3"/>
    <n v="1"/>
  </r>
  <r>
    <s v="TXN100060"/>
    <n v="53"/>
    <x v="15"/>
    <d v="2026-01-23T20:15:00"/>
    <n v="49"/>
    <s v="Netbanking"/>
    <s v="captured"/>
    <n v="87"/>
    <x v="20"/>
    <n v="1"/>
  </r>
  <r>
    <s v="TXN100061"/>
    <n v="290"/>
    <x v="4"/>
    <d v="2026-01-20T03:50:00"/>
    <n v="99"/>
    <s v="Wallet"/>
    <s v="captured"/>
    <n v="44"/>
    <x v="26"/>
    <n v="1"/>
  </r>
  <r>
    <s v="TXN100062"/>
    <n v="190"/>
    <x v="32"/>
    <d v="2026-01-18T13:42:00"/>
    <n v="299"/>
    <s v="UPI"/>
    <s v="captured"/>
    <n v="64"/>
    <x v="15"/>
    <n v="1"/>
  </r>
  <r>
    <s v="TXN100063"/>
    <n v="216"/>
    <x v="33"/>
    <d v="2026-01-21T10:00:00"/>
    <n v="49"/>
    <s v="Card"/>
    <s v="captured"/>
    <n v="13"/>
    <x v="8"/>
    <n v="1"/>
  </r>
  <r>
    <s v="TXN100064"/>
    <n v="236"/>
    <x v="34"/>
    <d v="2026-01-14T11:40:00"/>
    <n v="499"/>
    <s v="UPI"/>
    <s v="captured"/>
    <n v="55"/>
    <x v="12"/>
    <n v="1"/>
  </r>
  <r>
    <s v="TXN100065"/>
    <n v="334"/>
    <x v="7"/>
    <d v="2026-01-06T23:33:00"/>
    <n v="499"/>
    <s v="Card"/>
    <s v="captured"/>
    <n v="78"/>
    <x v="4"/>
    <n v="1"/>
  </r>
  <r>
    <s v="TXN100066"/>
    <n v="248"/>
    <x v="24"/>
    <d v="2026-01-26T17:49:00"/>
    <n v="799"/>
    <s v="Wallet"/>
    <s v="captured"/>
    <n v="55"/>
    <x v="16"/>
    <n v="1"/>
  </r>
  <r>
    <s v="TXN100067"/>
    <n v="138"/>
    <x v="17"/>
    <d v="2026-01-27T23:37:00"/>
    <n v="49"/>
    <s v="Card"/>
    <s v="captured"/>
    <n v="31"/>
    <x v="6"/>
    <n v="1"/>
  </r>
  <r>
    <s v="TXN100068"/>
    <n v="231"/>
    <x v="0"/>
    <d v="2026-01-27T02:17:00"/>
    <n v="49"/>
    <s v="UPI"/>
    <s v="captured"/>
    <n v="96"/>
    <x v="6"/>
    <n v="1"/>
  </r>
  <r>
    <s v="TXN100069"/>
    <n v="343"/>
    <x v="14"/>
    <d v="2026-01-15T18:39:00"/>
    <n v="49"/>
    <s v="UPI"/>
    <s v="captured"/>
    <n v="43"/>
    <x v="17"/>
    <n v="1"/>
  </r>
  <r>
    <s v="TXN100070"/>
    <n v="167"/>
    <x v="9"/>
    <d v="2026-01-01T15:54:00"/>
    <n v="499"/>
    <s v="Wallet"/>
    <s v="captured"/>
    <n v="62"/>
    <x v="9"/>
    <n v="0"/>
  </r>
  <r>
    <s v="TXN100071"/>
    <n v="133"/>
    <x v="3"/>
    <d v="2026-01-07T11:51:00"/>
    <n v="499"/>
    <s v="UPI"/>
    <s v="captured"/>
    <n v="35"/>
    <x v="25"/>
    <n v="1"/>
  </r>
  <r>
    <s v="TXN100072"/>
    <n v="142"/>
    <x v="25"/>
    <d v="2026-01-29T19:44:00"/>
    <n v="799"/>
    <s v="Wallet"/>
    <s v="captured"/>
    <n v="1"/>
    <x v="0"/>
    <n v="1"/>
  </r>
  <r>
    <s v="TXN100073"/>
    <n v="124"/>
    <x v="1"/>
    <d v="2026-01-17T06:05:00"/>
    <n v="499"/>
    <s v="Wallet"/>
    <s v="captured"/>
    <n v="62"/>
    <x v="18"/>
    <n v="1"/>
  </r>
  <r>
    <s v="TXN100074"/>
    <n v="244"/>
    <x v="33"/>
    <d v="2026-01-18T07:44:00"/>
    <n v="149"/>
    <s v="UPI"/>
    <s v="captured"/>
    <n v="57"/>
    <x v="15"/>
    <n v="1"/>
  </r>
  <r>
    <s v="TXN100075"/>
    <n v="151"/>
    <x v="19"/>
    <d v="2026-01-26T00:05:00"/>
    <n v="4999"/>
    <s v="UPI"/>
    <s v="captured"/>
    <n v="51"/>
    <x v="16"/>
    <n v="1"/>
  </r>
  <r>
    <s v="TXN100076"/>
    <n v="340"/>
    <x v="35"/>
    <d v="2026-01-23T07:19:00"/>
    <n v="499"/>
    <s v="Card"/>
    <s v="captured"/>
    <n v="47"/>
    <x v="20"/>
    <n v="1"/>
  </r>
  <r>
    <s v="TXN100077"/>
    <n v="177"/>
    <x v="10"/>
    <d v="2026-01-16T17:33:00"/>
    <n v="299"/>
    <s v="UPI"/>
    <s v="captured"/>
    <n v="95"/>
    <x v="24"/>
    <n v="1"/>
  </r>
  <r>
    <s v="TXN100078"/>
    <n v="233"/>
    <x v="7"/>
    <d v="2026-01-18T10:22:00"/>
    <n v="499"/>
    <s v="UPI"/>
    <s v="captured"/>
    <n v="39"/>
    <x v="15"/>
    <n v="1"/>
  </r>
  <r>
    <s v="TXN100079"/>
    <n v="99"/>
    <x v="17"/>
    <d v="2026-01-09T07:07:00"/>
    <n v="499"/>
    <s v="UPI"/>
    <s v="captured"/>
    <n v="15"/>
    <x v="10"/>
    <n v="1"/>
  </r>
  <r>
    <s v="TXN100080"/>
    <n v="95"/>
    <x v="6"/>
    <d v="2026-01-24T17:48:00"/>
    <n v="2999"/>
    <s v="Netbanking"/>
    <s v="failed"/>
    <n v="27"/>
    <x v="2"/>
    <n v="1"/>
  </r>
  <r>
    <s v="TXN100081"/>
    <n v="302"/>
    <x v="36"/>
    <d v="2026-01-24T15:17:00"/>
    <n v="49"/>
    <s v="Netbanking"/>
    <s v="captured"/>
    <n v="76"/>
    <x v="2"/>
    <n v="1"/>
  </r>
  <r>
    <s v="TXN100082"/>
    <n v="100"/>
    <x v="13"/>
    <d v="2026-01-10T03:53:00"/>
    <n v="2999"/>
    <s v="Netbanking"/>
    <s v="captured"/>
    <n v="29"/>
    <x v="27"/>
    <n v="1"/>
  </r>
  <r>
    <s v="TXN100083"/>
    <n v="8"/>
    <x v="8"/>
    <d v="2026-01-12T05:19:00"/>
    <n v="99"/>
    <s v="UPI"/>
    <s v="captured"/>
    <n v="16"/>
    <x v="28"/>
    <n v="1"/>
  </r>
  <r>
    <s v="TXN100084"/>
    <n v="284"/>
    <x v="13"/>
    <d v="2026-01-09T01:03:00"/>
    <n v="99"/>
    <s v="UPI"/>
    <s v="captured"/>
    <n v="89"/>
    <x v="10"/>
    <n v="1"/>
  </r>
  <r>
    <s v="TXN100085"/>
    <n v="252"/>
    <x v="23"/>
    <d v="2026-01-05T20:55:00"/>
    <n v="2999"/>
    <s v="Wallet"/>
    <s v="captured"/>
    <n v="1"/>
    <x v="14"/>
    <n v="0"/>
  </r>
  <r>
    <s v="TXN100086"/>
    <n v="246"/>
    <x v="26"/>
    <d v="2026-01-19T09:30:00"/>
    <n v="49"/>
    <s v="Wallet"/>
    <s v="captured"/>
    <n v="43"/>
    <x v="23"/>
    <n v="1"/>
  </r>
  <r>
    <s v="TXN100087"/>
    <n v="245"/>
    <x v="30"/>
    <d v="2026-01-06T01:16:00"/>
    <n v="49"/>
    <s v="UPI"/>
    <s v="chargeback"/>
    <n v="8"/>
    <x v="4"/>
    <n v="1"/>
  </r>
  <r>
    <s v="TXN100088"/>
    <n v="296"/>
    <x v="29"/>
    <d v="2026-01-13T15:04:00"/>
    <n v="799"/>
    <s v="Wallet"/>
    <s v="captured"/>
    <n v="19"/>
    <x v="11"/>
    <n v="1"/>
  </r>
  <r>
    <s v="TXN100089"/>
    <n v="44"/>
    <x v="0"/>
    <d v="2026-01-05T18:19:00"/>
    <n v="149"/>
    <s v="UPI"/>
    <s v="captured"/>
    <n v="15"/>
    <x v="14"/>
    <n v="1"/>
  </r>
  <r>
    <s v="TXN100090"/>
    <n v="306"/>
    <x v="12"/>
    <d v="2026-01-18T13:38:00"/>
    <n v="799"/>
    <s v="Card"/>
    <s v="captured"/>
    <n v="28"/>
    <x v="15"/>
    <n v="1"/>
  </r>
  <r>
    <s v="TXN100091"/>
    <n v="231"/>
    <x v="26"/>
    <d v="2026-01-25T16:24:00"/>
    <n v="299"/>
    <s v="UPI"/>
    <s v="captured"/>
    <n v="38"/>
    <x v="21"/>
    <n v="1"/>
  </r>
  <r>
    <s v="TXN100092"/>
    <n v="157"/>
    <x v="21"/>
    <d v="2026-01-28T18:27:00"/>
    <n v="499"/>
    <s v="Wallet"/>
    <s v="captured"/>
    <n v="79"/>
    <x v="19"/>
    <n v="0"/>
  </r>
  <r>
    <s v="TXN100093"/>
    <n v="51"/>
    <x v="16"/>
    <d v="2026-01-02T19:47:00"/>
    <n v="1499"/>
    <s v="UPI"/>
    <s v="captured"/>
    <n v="80"/>
    <x v="22"/>
    <n v="1"/>
  </r>
  <r>
    <s v="TXN100094"/>
    <n v="42"/>
    <x v="2"/>
    <d v="2026-01-07T08:42:00"/>
    <n v="49"/>
    <s v="Wallet"/>
    <s v="captured"/>
    <n v="30"/>
    <x v="25"/>
    <n v="1"/>
  </r>
  <r>
    <s v="TXN100095"/>
    <n v="81"/>
    <x v="37"/>
    <d v="2026-01-06T17:04:00"/>
    <n v="149"/>
    <s v="UPI"/>
    <s v="captured"/>
    <n v="52"/>
    <x v="4"/>
    <n v="1"/>
  </r>
  <r>
    <s v="TXN100096"/>
    <n v="241"/>
    <x v="13"/>
    <d v="2026-01-15T22:38:00"/>
    <n v="299"/>
    <s v="UPI"/>
    <s v="captured"/>
    <n v="4"/>
    <x v="17"/>
    <n v="1"/>
  </r>
  <r>
    <s v="TXN100097"/>
    <n v="145"/>
    <x v="24"/>
    <d v="2026-01-08T09:45:00"/>
    <n v="799"/>
    <s v="UPI"/>
    <s v="captured"/>
    <n v="9"/>
    <x v="5"/>
    <n v="1"/>
  </r>
  <r>
    <s v="TXN100098"/>
    <n v="136"/>
    <x v="35"/>
    <d v="2026-01-22T07:59:00"/>
    <n v="299"/>
    <s v="Card"/>
    <s v="captured"/>
    <n v="84"/>
    <x v="13"/>
    <n v="1"/>
  </r>
  <r>
    <s v="TXN100099"/>
    <n v="59"/>
    <x v="8"/>
    <d v="2026-01-26T06:27:00"/>
    <n v="499"/>
    <s v="UPI"/>
    <s v="captured"/>
    <n v="28"/>
    <x v="16"/>
    <n v="1"/>
  </r>
  <r>
    <s v="TXN100100"/>
    <n v="137"/>
    <x v="34"/>
    <d v="2026-01-21T04:58:00"/>
    <n v="299"/>
    <s v="UPI"/>
    <s v="captured"/>
    <n v="9"/>
    <x v="8"/>
    <n v="1"/>
  </r>
  <r>
    <s v="TXN100101"/>
    <n v="158"/>
    <x v="38"/>
    <d v="2026-01-02T05:50:00"/>
    <n v="499"/>
    <s v="Netbanking"/>
    <s v="captured"/>
    <n v="95"/>
    <x v="22"/>
    <n v="1"/>
  </r>
  <r>
    <s v="TXN100102"/>
    <n v="148"/>
    <x v="26"/>
    <d v="2026-01-27T18:58:00"/>
    <n v="99"/>
    <s v="Card"/>
    <s v="captured"/>
    <n v="15"/>
    <x v="6"/>
    <n v="1"/>
  </r>
  <r>
    <s v="TXN100103"/>
    <n v="207"/>
    <x v="7"/>
    <d v="2026-01-15T22:19:00"/>
    <n v="149"/>
    <s v="UPI"/>
    <s v="captured"/>
    <n v="64"/>
    <x v="17"/>
    <n v="1"/>
  </r>
  <r>
    <s v="TXN100104"/>
    <n v="42"/>
    <x v="38"/>
    <d v="2026-01-18T15:28:00"/>
    <n v="2999"/>
    <s v="Card"/>
    <s v="captured"/>
    <n v="5"/>
    <x v="15"/>
    <n v="1"/>
  </r>
  <r>
    <s v="TXN100105"/>
    <n v="166"/>
    <x v="38"/>
    <d v="2026-01-29T13:47:00"/>
    <n v="149"/>
    <s v="UPI"/>
    <s v="captured"/>
    <n v="32"/>
    <x v="0"/>
    <n v="1"/>
  </r>
  <r>
    <s v="TXN100106"/>
    <n v="346"/>
    <x v="21"/>
    <d v="2026-01-01T02:14:00"/>
    <n v="99"/>
    <s v="UPI"/>
    <s v="captured"/>
    <n v="75"/>
    <x v="9"/>
    <n v="1"/>
  </r>
  <r>
    <s v="TXN100107"/>
    <n v="138"/>
    <x v="21"/>
    <d v="2026-01-01T21:52:00"/>
    <n v="499"/>
    <s v="UPI"/>
    <s v="captured"/>
    <n v="5"/>
    <x v="9"/>
    <n v="0"/>
  </r>
  <r>
    <s v="TXN100108"/>
    <n v="266"/>
    <x v="26"/>
    <d v="2026-01-25T05:30:00"/>
    <n v="499"/>
    <s v="Wallet"/>
    <s v="failed"/>
    <n v="35"/>
    <x v="21"/>
    <n v="0"/>
  </r>
  <r>
    <s v="TXN100109"/>
    <n v="326"/>
    <x v="33"/>
    <d v="2026-01-06T18:27:00"/>
    <n v="149"/>
    <s v="UPI"/>
    <s v="captured"/>
    <n v="11"/>
    <x v="4"/>
    <n v="1"/>
  </r>
  <r>
    <s v="TXN100110"/>
    <n v="171"/>
    <x v="17"/>
    <d v="2026-01-16T11:26:00"/>
    <n v="799"/>
    <s v="UPI"/>
    <s v="captured"/>
    <n v="85"/>
    <x v="24"/>
    <n v="1"/>
  </r>
  <r>
    <s v="TXN100111"/>
    <n v="211"/>
    <x v="33"/>
    <d v="2026-01-04T05:21:00"/>
    <n v="49"/>
    <s v="UPI"/>
    <s v="captured"/>
    <n v="36"/>
    <x v="1"/>
    <n v="1"/>
  </r>
  <r>
    <s v="TXN100112"/>
    <n v="282"/>
    <x v="4"/>
    <d v="2026-01-22T12:52:00"/>
    <n v="499"/>
    <s v="UPI"/>
    <s v="captured"/>
    <n v="58"/>
    <x v="13"/>
    <n v="1"/>
  </r>
  <r>
    <s v="TXN100113"/>
    <n v="166"/>
    <x v="30"/>
    <d v="2026-01-03T10:16:00"/>
    <n v="299"/>
    <s v="UPI"/>
    <s v="captured"/>
    <n v="98"/>
    <x v="29"/>
    <n v="1"/>
  </r>
  <r>
    <s v="TXN100114"/>
    <n v="1"/>
    <x v="8"/>
    <d v="2026-01-13T16:52:00"/>
    <n v="149"/>
    <s v="UPI"/>
    <s v="captured"/>
    <n v="59"/>
    <x v="11"/>
    <n v="1"/>
  </r>
  <r>
    <s v="TXN100115"/>
    <n v="266"/>
    <x v="31"/>
    <d v="2026-01-14T01:12:00"/>
    <n v="499"/>
    <s v="UPI"/>
    <s v="captured"/>
    <n v="79"/>
    <x v="12"/>
    <n v="1"/>
  </r>
  <r>
    <s v="TXN100116"/>
    <n v="227"/>
    <x v="29"/>
    <d v="2026-01-25T15:40:00"/>
    <n v="499"/>
    <s v="UPI"/>
    <s v="captured"/>
    <n v="26"/>
    <x v="21"/>
    <n v="1"/>
  </r>
  <r>
    <s v="TXN100117"/>
    <n v="148"/>
    <x v="26"/>
    <d v="2026-01-09T17:08:00"/>
    <n v="499"/>
    <s v="UPI"/>
    <s v="captured"/>
    <n v="89"/>
    <x v="10"/>
    <n v="1"/>
  </r>
  <r>
    <s v="TXN100118"/>
    <n v="323"/>
    <x v="38"/>
    <d v="2026-01-16T03:01:00"/>
    <n v="499"/>
    <s v="UPI"/>
    <s v="captured"/>
    <n v="30"/>
    <x v="24"/>
    <n v="1"/>
  </r>
  <r>
    <s v="TXN100119"/>
    <n v="283"/>
    <x v="37"/>
    <d v="2026-01-23T05:19:00"/>
    <n v="2999"/>
    <s v="Wallet"/>
    <s v="captured"/>
    <n v="70"/>
    <x v="20"/>
    <n v="1"/>
  </r>
  <r>
    <s v="TXN100120"/>
    <n v="59"/>
    <x v="24"/>
    <d v="2026-01-14T02:14:00"/>
    <n v="499"/>
    <s v="UPI"/>
    <s v="captured"/>
    <n v="15"/>
    <x v="12"/>
    <n v="0"/>
  </r>
  <r>
    <s v="TXN100121"/>
    <n v="150"/>
    <x v="11"/>
    <d v="2026-01-21T04:31:00"/>
    <n v="2999"/>
    <s v="UPI"/>
    <s v="captured"/>
    <n v="90"/>
    <x v="8"/>
    <n v="1"/>
  </r>
  <r>
    <s v="TXN100122"/>
    <n v="248"/>
    <x v="20"/>
    <d v="2026-01-09T13:53:00"/>
    <n v="1499"/>
    <s v="UPI"/>
    <s v="failed"/>
    <n v="31"/>
    <x v="10"/>
    <n v="1"/>
  </r>
  <r>
    <s v="TXN100123"/>
    <n v="197"/>
    <x v="6"/>
    <d v="2026-01-15T17:09:00"/>
    <n v="49"/>
    <s v="UPI"/>
    <s v="captured"/>
    <n v="76"/>
    <x v="17"/>
    <n v="1"/>
  </r>
  <r>
    <s v="TXN100124"/>
    <n v="70"/>
    <x v="32"/>
    <d v="2026-01-17T23:56:00"/>
    <n v="499"/>
    <s v="UPI"/>
    <s v="captured"/>
    <n v="35"/>
    <x v="18"/>
    <n v="1"/>
  </r>
  <r>
    <s v="TXN100125"/>
    <n v="260"/>
    <x v="7"/>
    <d v="2026-01-25T13:21:00"/>
    <n v="1499"/>
    <s v="UPI"/>
    <s v="captured"/>
    <n v="0"/>
    <x v="21"/>
    <n v="0"/>
  </r>
  <r>
    <s v="TXN100126"/>
    <n v="301"/>
    <x v="35"/>
    <d v="2026-01-10T23:19:00"/>
    <n v="99"/>
    <s v="UPI"/>
    <s v="captured"/>
    <n v="84"/>
    <x v="27"/>
    <n v="1"/>
  </r>
  <r>
    <s v="TXN100127"/>
    <n v="276"/>
    <x v="20"/>
    <d v="2026-01-16T04:28:00"/>
    <n v="499"/>
    <s v="Card"/>
    <s v="captured"/>
    <n v="44"/>
    <x v="24"/>
    <n v="1"/>
  </r>
  <r>
    <s v="TXN100128"/>
    <n v="279"/>
    <x v="14"/>
    <d v="2026-01-11T17:48:00"/>
    <n v="799"/>
    <s v="UPI"/>
    <s v="captured"/>
    <n v="58"/>
    <x v="7"/>
    <n v="1"/>
  </r>
  <r>
    <s v="TXN100129"/>
    <n v="97"/>
    <x v="0"/>
    <d v="2026-01-30T10:55:00"/>
    <n v="799"/>
    <s v="Card"/>
    <s v="captured"/>
    <n v="73"/>
    <x v="3"/>
    <n v="0"/>
  </r>
  <r>
    <s v="TXN100130"/>
    <n v="211"/>
    <x v="4"/>
    <d v="2026-01-13T07:54:00"/>
    <n v="149"/>
    <s v="UPI"/>
    <s v="chargeback"/>
    <n v="40"/>
    <x v="11"/>
    <n v="0"/>
  </r>
  <r>
    <s v="TXN100131"/>
    <n v="196"/>
    <x v="14"/>
    <d v="2026-01-24T15:45:00"/>
    <n v="149"/>
    <s v="Netbanking"/>
    <s v="captured"/>
    <n v="84"/>
    <x v="2"/>
    <n v="1"/>
  </r>
  <r>
    <s v="TXN100132"/>
    <n v="254"/>
    <x v="4"/>
    <d v="2026-01-26T20:09:00"/>
    <n v="149"/>
    <s v="Card"/>
    <s v="captured"/>
    <n v="16"/>
    <x v="16"/>
    <n v="1"/>
  </r>
  <r>
    <s v="TXN100133"/>
    <n v="52"/>
    <x v="26"/>
    <d v="2026-01-17T18:21:00"/>
    <n v="49"/>
    <s v="Netbanking"/>
    <s v="captured"/>
    <n v="12"/>
    <x v="18"/>
    <n v="1"/>
  </r>
  <r>
    <s v="TXN100134"/>
    <n v="74"/>
    <x v="1"/>
    <d v="2026-01-17T14:00:00"/>
    <n v="799"/>
    <s v="UPI"/>
    <s v="captured"/>
    <n v="83"/>
    <x v="18"/>
    <n v="0"/>
  </r>
  <r>
    <s v="TXN100135"/>
    <n v="136"/>
    <x v="3"/>
    <d v="2026-01-05T02:30:00"/>
    <n v="149"/>
    <s v="UPI"/>
    <s v="captured"/>
    <n v="79"/>
    <x v="14"/>
    <n v="1"/>
  </r>
  <r>
    <s v="TXN100136"/>
    <n v="42"/>
    <x v="3"/>
    <d v="2026-01-23T12:41:00"/>
    <n v="49"/>
    <s v="UPI"/>
    <s v="captured"/>
    <n v="86"/>
    <x v="20"/>
    <n v="1"/>
  </r>
  <r>
    <s v="TXN100137"/>
    <n v="163"/>
    <x v="33"/>
    <d v="2026-01-28T17:24:00"/>
    <n v="2999"/>
    <s v="Wallet"/>
    <s v="failed"/>
    <n v="69"/>
    <x v="19"/>
    <n v="1"/>
  </r>
  <r>
    <s v="TXN100138"/>
    <n v="121"/>
    <x v="13"/>
    <d v="2026-01-02T19:04:00"/>
    <n v="149"/>
    <s v="UPI"/>
    <s v="captured"/>
    <n v="29"/>
    <x v="22"/>
    <n v="1"/>
  </r>
  <r>
    <s v="TXN100139"/>
    <n v="51"/>
    <x v="23"/>
    <d v="2026-01-24T02:27:00"/>
    <n v="499"/>
    <s v="Card"/>
    <s v="captured"/>
    <n v="56"/>
    <x v="2"/>
    <n v="1"/>
  </r>
  <r>
    <s v="TXN100140"/>
    <n v="15"/>
    <x v="4"/>
    <d v="2026-01-06T22:19:00"/>
    <n v="799"/>
    <s v="UPI"/>
    <s v="captured"/>
    <n v="41"/>
    <x v="4"/>
    <n v="0"/>
  </r>
  <r>
    <s v="TXN100141"/>
    <n v="184"/>
    <x v="31"/>
    <d v="2026-01-26T01:18:00"/>
    <n v="49"/>
    <s v="UPI"/>
    <s v="captured"/>
    <n v="55"/>
    <x v="16"/>
    <n v="1"/>
  </r>
  <r>
    <s v="TXN100142"/>
    <n v="211"/>
    <x v="21"/>
    <d v="2026-01-05T07:33:00"/>
    <n v="1499"/>
    <s v="UPI"/>
    <s v="captured"/>
    <n v="87"/>
    <x v="14"/>
    <n v="1"/>
  </r>
  <r>
    <s v="TXN100143"/>
    <n v="90"/>
    <x v="18"/>
    <d v="2026-01-26T05:10:00"/>
    <n v="49"/>
    <s v="Card"/>
    <s v="captured"/>
    <n v="78"/>
    <x v="16"/>
    <n v="0"/>
  </r>
  <r>
    <s v="TXN100144"/>
    <n v="350"/>
    <x v="0"/>
    <d v="2026-01-28T12:39:00"/>
    <n v="49"/>
    <s v="UPI"/>
    <s v="captured"/>
    <n v="63"/>
    <x v="19"/>
    <n v="1"/>
  </r>
  <r>
    <s v="TXN100145"/>
    <n v="119"/>
    <x v="24"/>
    <d v="2026-01-30T18:09:00"/>
    <n v="49"/>
    <s v="Card"/>
    <s v="captured"/>
    <n v="81"/>
    <x v="3"/>
    <n v="1"/>
  </r>
  <r>
    <s v="TXN100146"/>
    <n v="342"/>
    <x v="37"/>
    <d v="2026-01-09T14:16:00"/>
    <n v="49"/>
    <s v="UPI"/>
    <s v="captured"/>
    <n v="59"/>
    <x v="10"/>
    <n v="1"/>
  </r>
  <r>
    <s v="TXN100147"/>
    <n v="280"/>
    <x v="2"/>
    <d v="2026-01-29T09:43:00"/>
    <n v="149"/>
    <s v="UPI"/>
    <s v="chargeback"/>
    <n v="9"/>
    <x v="0"/>
    <n v="1"/>
  </r>
  <r>
    <s v="TXN100148"/>
    <n v="154"/>
    <x v="10"/>
    <d v="2026-01-15T11:37:00"/>
    <n v="2999"/>
    <s v="Netbanking"/>
    <s v="captured"/>
    <n v="88"/>
    <x v="17"/>
    <n v="1"/>
  </r>
  <r>
    <s v="TXN100149"/>
    <n v="155"/>
    <x v="6"/>
    <d v="2026-01-09T14:54:00"/>
    <n v="149"/>
    <s v="UPI"/>
    <s v="captured"/>
    <n v="49"/>
    <x v="10"/>
    <n v="1"/>
  </r>
  <r>
    <s v="TXN100150"/>
    <n v="122"/>
    <x v="14"/>
    <d v="2026-01-28T15:06:00"/>
    <n v="299"/>
    <s v="UPI"/>
    <s v="captured"/>
    <n v="73"/>
    <x v="19"/>
    <n v="1"/>
  </r>
  <r>
    <s v="TXN100151"/>
    <n v="152"/>
    <x v="27"/>
    <d v="2026-01-12T18:18:00"/>
    <n v="49"/>
    <s v="UPI"/>
    <s v="captured"/>
    <n v="84"/>
    <x v="28"/>
    <n v="1"/>
  </r>
  <r>
    <s v="TXN100152"/>
    <n v="290"/>
    <x v="29"/>
    <d v="2026-01-13T08:00:00"/>
    <n v="149"/>
    <s v="UPI"/>
    <s v="captured"/>
    <n v="77"/>
    <x v="11"/>
    <n v="0"/>
  </r>
  <r>
    <s v="TXN100153"/>
    <n v="147"/>
    <x v="19"/>
    <d v="2026-01-24T15:53:00"/>
    <n v="49"/>
    <s v="Wallet"/>
    <s v="captured"/>
    <n v="77"/>
    <x v="2"/>
    <n v="0"/>
  </r>
  <r>
    <s v="TXN100154"/>
    <n v="326"/>
    <x v="6"/>
    <d v="2026-01-26T11:14:00"/>
    <n v="299"/>
    <s v="Netbanking"/>
    <s v="captured"/>
    <n v="79"/>
    <x v="16"/>
    <n v="1"/>
  </r>
  <r>
    <s v="TXN100155"/>
    <n v="338"/>
    <x v="39"/>
    <d v="2026-01-09T21:48:00"/>
    <n v="99"/>
    <s v="Card"/>
    <s v="captured"/>
    <n v="80"/>
    <x v="10"/>
    <n v="1"/>
  </r>
  <r>
    <s v="TXN100156"/>
    <n v="21"/>
    <x v="15"/>
    <d v="2026-01-04T20:41:00"/>
    <n v="2999"/>
    <s v="UPI"/>
    <s v="captured"/>
    <n v="100"/>
    <x v="1"/>
    <n v="1"/>
  </r>
  <r>
    <s v="TXN100157"/>
    <n v="187"/>
    <x v="39"/>
    <d v="2026-01-15T01:37:00"/>
    <n v="49"/>
    <s v="Card"/>
    <s v="failed"/>
    <n v="11"/>
    <x v="17"/>
    <n v="1"/>
  </r>
  <r>
    <s v="TXN100158"/>
    <n v="213"/>
    <x v="9"/>
    <d v="2026-01-30T09:20:00"/>
    <n v="4999"/>
    <s v="UPI"/>
    <s v="captured"/>
    <n v="25"/>
    <x v="3"/>
    <n v="1"/>
  </r>
  <r>
    <s v="TXN100159"/>
    <n v="188"/>
    <x v="36"/>
    <d v="2026-01-05T17:56:00"/>
    <n v="2999"/>
    <s v="UPI"/>
    <s v="captured"/>
    <n v="64"/>
    <x v="14"/>
    <n v="1"/>
  </r>
  <r>
    <s v="TXN100160"/>
    <n v="85"/>
    <x v="28"/>
    <d v="2026-01-30T08:53:00"/>
    <n v="499"/>
    <s v="UPI"/>
    <s v="captured"/>
    <n v="61"/>
    <x v="3"/>
    <n v="1"/>
  </r>
  <r>
    <s v="TXN100161"/>
    <n v="174"/>
    <x v="30"/>
    <d v="2026-01-26T09:47:00"/>
    <n v="299"/>
    <s v="Netbanking"/>
    <s v="captured"/>
    <n v="59"/>
    <x v="16"/>
    <n v="1"/>
  </r>
  <r>
    <s v="TXN100162"/>
    <n v="116"/>
    <x v="22"/>
    <d v="2026-01-03T04:48:00"/>
    <n v="99"/>
    <s v="Netbanking"/>
    <s v="captured"/>
    <n v="71"/>
    <x v="29"/>
    <n v="1"/>
  </r>
  <r>
    <s v="TXN100163"/>
    <n v="203"/>
    <x v="37"/>
    <d v="2026-01-12T02:50:00"/>
    <n v="149"/>
    <s v="Wallet"/>
    <s v="captured"/>
    <n v="33"/>
    <x v="28"/>
    <n v="1"/>
  </r>
  <r>
    <s v="TXN100164"/>
    <n v="189"/>
    <x v="28"/>
    <d v="2026-01-18T03:29:00"/>
    <n v="99"/>
    <s v="UPI"/>
    <s v="captured"/>
    <n v="74"/>
    <x v="15"/>
    <n v="1"/>
  </r>
  <r>
    <s v="TXN100165"/>
    <n v="56"/>
    <x v="19"/>
    <d v="2026-01-13T20:23:00"/>
    <n v="299"/>
    <s v="UPI"/>
    <s v="captured"/>
    <n v="60"/>
    <x v="11"/>
    <n v="1"/>
  </r>
  <r>
    <s v="TXN100166"/>
    <n v="288"/>
    <x v="17"/>
    <d v="2026-01-01T19:56:00"/>
    <n v="4999"/>
    <s v="Wallet"/>
    <s v="failed"/>
    <n v="78"/>
    <x v="9"/>
    <n v="1"/>
  </r>
  <r>
    <s v="TXN100167"/>
    <n v="326"/>
    <x v="24"/>
    <d v="2026-01-08T20:04:00"/>
    <n v="99"/>
    <s v="Card"/>
    <s v="captured"/>
    <n v="89"/>
    <x v="5"/>
    <n v="0"/>
  </r>
  <r>
    <s v="TXN100168"/>
    <n v="60"/>
    <x v="39"/>
    <d v="2026-01-10T20:26:00"/>
    <n v="49"/>
    <s v="Netbanking"/>
    <s v="captured"/>
    <n v="5"/>
    <x v="27"/>
    <n v="1"/>
  </r>
  <r>
    <s v="TXN100169"/>
    <n v="60"/>
    <x v="23"/>
    <d v="2026-01-02T09:31:00"/>
    <n v="2999"/>
    <s v="Wallet"/>
    <s v="captured"/>
    <n v="30"/>
    <x v="22"/>
    <n v="1"/>
  </r>
  <r>
    <s v="TXN100170"/>
    <n v="199"/>
    <x v="24"/>
    <d v="2026-01-29T17:08:00"/>
    <n v="149"/>
    <s v="Netbanking"/>
    <s v="captured"/>
    <n v="47"/>
    <x v="0"/>
    <n v="1"/>
  </r>
  <r>
    <s v="TXN100171"/>
    <n v="277"/>
    <x v="1"/>
    <d v="2026-01-22T23:44:00"/>
    <n v="49"/>
    <s v="UPI"/>
    <s v="captured"/>
    <n v="75"/>
    <x v="13"/>
    <n v="1"/>
  </r>
  <r>
    <s v="TXN100172"/>
    <n v="213"/>
    <x v="23"/>
    <d v="2026-01-24T23:09:00"/>
    <n v="799"/>
    <s v="Netbanking"/>
    <s v="captured"/>
    <n v="62"/>
    <x v="2"/>
    <n v="0"/>
  </r>
  <r>
    <s v="TXN100173"/>
    <n v="17"/>
    <x v="31"/>
    <d v="2026-01-20T13:17:00"/>
    <n v="299"/>
    <s v="UPI"/>
    <s v="captured"/>
    <n v="27"/>
    <x v="26"/>
    <n v="1"/>
  </r>
  <r>
    <s v="TXN100174"/>
    <n v="186"/>
    <x v="23"/>
    <d v="2026-01-15T14:15:00"/>
    <n v="1499"/>
    <s v="Card"/>
    <s v="failed"/>
    <n v="87"/>
    <x v="17"/>
    <n v="1"/>
  </r>
  <r>
    <s v="TXN100175"/>
    <n v="331"/>
    <x v="5"/>
    <d v="2026-01-12T17:57:00"/>
    <n v="149"/>
    <s v="UPI"/>
    <s v="captured"/>
    <n v="7"/>
    <x v="28"/>
    <n v="1"/>
  </r>
  <r>
    <s v="TXN100176"/>
    <n v="63"/>
    <x v="24"/>
    <d v="2026-01-13T08:12:00"/>
    <n v="1499"/>
    <s v="Card"/>
    <s v="captured"/>
    <n v="11"/>
    <x v="11"/>
    <n v="1"/>
  </r>
  <r>
    <s v="TXN100177"/>
    <n v="328"/>
    <x v="38"/>
    <d v="2026-01-22T06:41:00"/>
    <n v="4999"/>
    <s v="Wallet"/>
    <s v="chargeback"/>
    <n v="2"/>
    <x v="13"/>
    <n v="1"/>
  </r>
  <r>
    <s v="TXN100178"/>
    <n v="65"/>
    <x v="21"/>
    <d v="2026-01-02T10:15:00"/>
    <n v="2999"/>
    <s v="Card"/>
    <s v="captured"/>
    <n v="26"/>
    <x v="22"/>
    <n v="1"/>
  </r>
  <r>
    <s v="TXN100179"/>
    <n v="301"/>
    <x v="16"/>
    <d v="2026-01-03T17:13:00"/>
    <n v="149"/>
    <s v="UPI"/>
    <s v="captured"/>
    <n v="29"/>
    <x v="29"/>
    <n v="1"/>
  </r>
  <r>
    <s v="TXN100180"/>
    <n v="306"/>
    <x v="37"/>
    <d v="2026-01-11T04:50:00"/>
    <n v="299"/>
    <s v="UPI"/>
    <s v="failed"/>
    <n v="35"/>
    <x v="7"/>
    <n v="1"/>
  </r>
  <r>
    <s v="TXN100181"/>
    <n v="277"/>
    <x v="28"/>
    <d v="2026-01-28T04:08:00"/>
    <n v="299"/>
    <s v="UPI"/>
    <s v="captured"/>
    <n v="22"/>
    <x v="19"/>
    <n v="1"/>
  </r>
  <r>
    <s v="TXN100182"/>
    <n v="14"/>
    <x v="39"/>
    <d v="2026-01-04T21:55:00"/>
    <n v="499"/>
    <s v="UPI"/>
    <s v="captured"/>
    <n v="1"/>
    <x v="1"/>
    <n v="1"/>
  </r>
  <r>
    <s v="TXN100183"/>
    <n v="166"/>
    <x v="27"/>
    <d v="2026-01-12T07:37:00"/>
    <n v="299"/>
    <s v="Card"/>
    <s v="captured"/>
    <n v="22"/>
    <x v="28"/>
    <n v="0"/>
  </r>
  <r>
    <s v="TXN100184"/>
    <n v="216"/>
    <x v="36"/>
    <d v="2026-01-09T01:08:00"/>
    <n v="299"/>
    <s v="Card"/>
    <s v="captured"/>
    <n v="14"/>
    <x v="10"/>
    <n v="1"/>
  </r>
  <r>
    <s v="TXN100185"/>
    <n v="230"/>
    <x v="31"/>
    <d v="2026-01-24T02:30:00"/>
    <n v="49"/>
    <s v="UPI"/>
    <s v="captured"/>
    <n v="65"/>
    <x v="2"/>
    <n v="1"/>
  </r>
  <r>
    <s v="TXN100186"/>
    <n v="258"/>
    <x v="19"/>
    <d v="2026-01-19T03:28:00"/>
    <n v="499"/>
    <s v="Wallet"/>
    <s v="captured"/>
    <n v="78"/>
    <x v="23"/>
    <n v="1"/>
  </r>
  <r>
    <s v="TXN100187"/>
    <n v="338"/>
    <x v="36"/>
    <d v="2026-01-02T23:50:00"/>
    <n v="49"/>
    <s v="UPI"/>
    <s v="captured"/>
    <n v="38"/>
    <x v="22"/>
    <n v="1"/>
  </r>
  <r>
    <s v="TXN100188"/>
    <n v="32"/>
    <x v="20"/>
    <d v="2026-01-15T20:01:00"/>
    <n v="299"/>
    <s v="UPI"/>
    <s v="captured"/>
    <n v="51"/>
    <x v="17"/>
    <n v="1"/>
  </r>
  <r>
    <s v="TXN100189"/>
    <n v="252"/>
    <x v="26"/>
    <d v="2026-01-14T21:06:00"/>
    <n v="1499"/>
    <s v="UPI"/>
    <s v="captured"/>
    <n v="9"/>
    <x v="12"/>
    <n v="1"/>
  </r>
  <r>
    <s v="TXN100190"/>
    <n v="312"/>
    <x v="34"/>
    <d v="2026-01-29T02:20:00"/>
    <n v="799"/>
    <s v="UPI"/>
    <s v="captured"/>
    <n v="8"/>
    <x v="0"/>
    <n v="1"/>
  </r>
  <r>
    <s v="TXN100191"/>
    <n v="325"/>
    <x v="35"/>
    <d v="2026-01-05T08:39:00"/>
    <n v="1499"/>
    <s v="Netbanking"/>
    <s v="captured"/>
    <n v="70"/>
    <x v="14"/>
    <n v="1"/>
  </r>
  <r>
    <s v="TXN100192"/>
    <n v="306"/>
    <x v="36"/>
    <d v="2026-01-23T10:24:00"/>
    <n v="2999"/>
    <s v="UPI"/>
    <s v="captured"/>
    <n v="37"/>
    <x v="20"/>
    <n v="1"/>
  </r>
  <r>
    <s v="TXN100193"/>
    <n v="221"/>
    <x v="23"/>
    <d v="2026-01-15T16:38:00"/>
    <n v="149"/>
    <s v="Netbanking"/>
    <s v="captured"/>
    <n v="89"/>
    <x v="17"/>
    <n v="0"/>
  </r>
  <r>
    <s v="TXN100194"/>
    <n v="283"/>
    <x v="16"/>
    <d v="2026-01-04T20:41:00"/>
    <n v="99"/>
    <s v="Wallet"/>
    <s v="captured"/>
    <n v="55"/>
    <x v="1"/>
    <n v="1"/>
  </r>
  <r>
    <s v="TXN100195"/>
    <n v="174"/>
    <x v="24"/>
    <d v="2026-01-15T07:26:00"/>
    <n v="49"/>
    <s v="UPI"/>
    <s v="captured"/>
    <n v="51"/>
    <x v="17"/>
    <n v="1"/>
  </r>
  <r>
    <s v="TXN100196"/>
    <n v="161"/>
    <x v="10"/>
    <d v="2026-01-14T23:06:00"/>
    <n v="49"/>
    <s v="UPI"/>
    <s v="captured"/>
    <n v="40"/>
    <x v="12"/>
    <n v="1"/>
  </r>
  <r>
    <s v="TXN100197"/>
    <n v="79"/>
    <x v="20"/>
    <d v="2026-01-22T08:23:00"/>
    <n v="99"/>
    <s v="UPI"/>
    <s v="captured"/>
    <n v="8"/>
    <x v="13"/>
    <n v="1"/>
  </r>
  <r>
    <s v="TXN100198"/>
    <n v="222"/>
    <x v="23"/>
    <d v="2026-01-03T02:05:00"/>
    <n v="149"/>
    <s v="Wallet"/>
    <s v="captured"/>
    <n v="95"/>
    <x v="29"/>
    <n v="1"/>
  </r>
  <r>
    <s v="TXN100199"/>
    <n v="67"/>
    <x v="25"/>
    <d v="2026-01-24T11:51:00"/>
    <n v="99"/>
    <s v="UPI"/>
    <s v="captured"/>
    <n v="7"/>
    <x v="2"/>
    <n v="1"/>
  </r>
  <r>
    <s v="TXN100200"/>
    <n v="169"/>
    <x v="30"/>
    <d v="2026-01-19T17:35:00"/>
    <n v="99"/>
    <s v="UPI"/>
    <s v="captured"/>
    <n v="52"/>
    <x v="23"/>
    <n v="1"/>
  </r>
  <r>
    <s v="TXN100201"/>
    <n v="217"/>
    <x v="29"/>
    <d v="2026-01-12T21:48:00"/>
    <n v="49"/>
    <s v="UPI"/>
    <s v="captured"/>
    <n v="36"/>
    <x v="28"/>
    <n v="1"/>
  </r>
  <r>
    <s v="TXN100202"/>
    <n v="54"/>
    <x v="21"/>
    <d v="2026-01-20T09:22:00"/>
    <n v="149"/>
    <s v="UPI"/>
    <s v="captured"/>
    <n v="64"/>
    <x v="26"/>
    <n v="1"/>
  </r>
  <r>
    <s v="TXN100203"/>
    <n v="247"/>
    <x v="19"/>
    <d v="2026-01-07T04:42:00"/>
    <n v="49"/>
    <s v="Card"/>
    <s v="captured"/>
    <n v="13"/>
    <x v="25"/>
    <n v="1"/>
  </r>
  <r>
    <s v="TXN100204"/>
    <n v="59"/>
    <x v="7"/>
    <d v="2026-01-12T17:23:00"/>
    <n v="49"/>
    <s v="Card"/>
    <s v="captured"/>
    <n v="73"/>
    <x v="28"/>
    <n v="1"/>
  </r>
  <r>
    <s v="TXN100205"/>
    <n v="288"/>
    <x v="12"/>
    <d v="2026-01-08T13:54:00"/>
    <n v="49"/>
    <s v="UPI"/>
    <s v="failed"/>
    <n v="78"/>
    <x v="5"/>
    <n v="1"/>
  </r>
  <r>
    <s v="TXN100206"/>
    <n v="14"/>
    <x v="38"/>
    <d v="2026-01-22T20:35:00"/>
    <n v="799"/>
    <s v="UPI"/>
    <s v="captured"/>
    <n v="84"/>
    <x v="13"/>
    <n v="0"/>
  </r>
  <r>
    <s v="TXN100207"/>
    <n v="15"/>
    <x v="9"/>
    <d v="2026-01-27T22:17:00"/>
    <n v="149"/>
    <s v="UPI"/>
    <s v="captured"/>
    <n v="34"/>
    <x v="6"/>
    <n v="1"/>
  </r>
  <r>
    <s v="TXN100208"/>
    <n v="174"/>
    <x v="5"/>
    <d v="2026-01-23T09:58:00"/>
    <n v="149"/>
    <s v="UPI"/>
    <s v="captured"/>
    <n v="0"/>
    <x v="20"/>
    <n v="1"/>
  </r>
  <r>
    <s v="TXN100209"/>
    <n v="337"/>
    <x v="22"/>
    <d v="2026-01-06T04:36:00"/>
    <n v="49"/>
    <s v="UPI"/>
    <s v="captured"/>
    <n v="8"/>
    <x v="4"/>
    <n v="1"/>
  </r>
  <r>
    <s v="TXN100210"/>
    <n v="16"/>
    <x v="18"/>
    <d v="2026-01-05T23:40:00"/>
    <n v="1499"/>
    <s v="UPI"/>
    <s v="captured"/>
    <n v="95"/>
    <x v="14"/>
    <n v="1"/>
  </r>
  <r>
    <s v="TXN100211"/>
    <n v="215"/>
    <x v="24"/>
    <d v="2026-01-17T06:24:00"/>
    <n v="49"/>
    <s v="UPI"/>
    <s v="captured"/>
    <n v="43"/>
    <x v="18"/>
    <n v="1"/>
  </r>
  <r>
    <s v="TXN100212"/>
    <n v="167"/>
    <x v="21"/>
    <d v="2026-01-06T11:19:00"/>
    <n v="99"/>
    <s v="UPI"/>
    <s v="captured"/>
    <n v="76"/>
    <x v="4"/>
    <n v="1"/>
  </r>
  <r>
    <s v="TXN100213"/>
    <n v="81"/>
    <x v="12"/>
    <d v="2026-01-03T01:09:00"/>
    <n v="49"/>
    <s v="UPI"/>
    <s v="captured"/>
    <n v="6"/>
    <x v="29"/>
    <n v="1"/>
  </r>
  <r>
    <s v="TXN100214"/>
    <n v="227"/>
    <x v="10"/>
    <d v="2026-01-22T02:17:00"/>
    <n v="99"/>
    <s v="UPI"/>
    <s v="captured"/>
    <n v="62"/>
    <x v="13"/>
    <n v="1"/>
  </r>
  <r>
    <s v="TXN100215"/>
    <n v="140"/>
    <x v="16"/>
    <d v="2026-01-20T14:26:00"/>
    <n v="299"/>
    <s v="Wallet"/>
    <s v="captured"/>
    <n v="96"/>
    <x v="26"/>
    <n v="1"/>
  </r>
  <r>
    <s v="TXN100216"/>
    <n v="221"/>
    <x v="30"/>
    <d v="2026-01-17T03:22:00"/>
    <n v="299"/>
    <s v="UPI"/>
    <s v="captured"/>
    <n v="36"/>
    <x v="18"/>
    <n v="1"/>
  </r>
  <r>
    <s v="TXN100217"/>
    <n v="250"/>
    <x v="36"/>
    <d v="2026-01-22T21:37:00"/>
    <n v="299"/>
    <s v="Wallet"/>
    <s v="captured"/>
    <n v="85"/>
    <x v="13"/>
    <n v="1"/>
  </r>
  <r>
    <s v="TXN100218"/>
    <n v="203"/>
    <x v="38"/>
    <d v="2026-01-10T01:14:00"/>
    <n v="49"/>
    <s v="UPI"/>
    <s v="captured"/>
    <n v="7"/>
    <x v="27"/>
    <n v="1"/>
  </r>
  <r>
    <s v="TXN100219"/>
    <n v="109"/>
    <x v="39"/>
    <d v="2026-01-01T06:19:00"/>
    <n v="499"/>
    <s v="Wallet"/>
    <s v="captured"/>
    <n v="97"/>
    <x v="9"/>
    <n v="1"/>
  </r>
  <r>
    <s v="TXN100220"/>
    <n v="62"/>
    <x v="37"/>
    <d v="2026-01-09T09:20:00"/>
    <n v="4999"/>
    <s v="Wallet"/>
    <s v="captured"/>
    <n v="63"/>
    <x v="10"/>
    <n v="0"/>
  </r>
  <r>
    <s v="TXN100221"/>
    <n v="67"/>
    <x v="14"/>
    <d v="2026-01-24T13:11:00"/>
    <n v="49"/>
    <s v="UPI"/>
    <s v="captured"/>
    <n v="68"/>
    <x v="2"/>
    <n v="0"/>
  </r>
  <r>
    <s v="TXN100222"/>
    <n v="287"/>
    <x v="5"/>
    <d v="2026-01-23T07:32:00"/>
    <n v="49"/>
    <s v="UPI"/>
    <s v="captured"/>
    <n v="9"/>
    <x v="20"/>
    <n v="0"/>
  </r>
  <r>
    <s v="TXN100223"/>
    <n v="224"/>
    <x v="27"/>
    <d v="2026-01-13T23:02:00"/>
    <n v="49"/>
    <s v="Card"/>
    <s v="captured"/>
    <n v="58"/>
    <x v="11"/>
    <n v="1"/>
  </r>
  <r>
    <s v="TXN100224"/>
    <n v="161"/>
    <x v="21"/>
    <d v="2026-01-30T02:55:00"/>
    <n v="299"/>
    <s v="UPI"/>
    <s v="captured"/>
    <n v="54"/>
    <x v="3"/>
    <n v="1"/>
  </r>
  <r>
    <s v="TXN100225"/>
    <n v="328"/>
    <x v="1"/>
    <d v="2026-01-19T12:45:00"/>
    <n v="49"/>
    <s v="UPI"/>
    <s v="chargeback"/>
    <n v="37"/>
    <x v="23"/>
    <n v="1"/>
  </r>
  <r>
    <s v="TXN100226"/>
    <n v="167"/>
    <x v="2"/>
    <d v="2026-01-04T12:01:00"/>
    <n v="1499"/>
    <s v="Card"/>
    <s v="failed"/>
    <n v="79"/>
    <x v="1"/>
    <n v="1"/>
  </r>
  <r>
    <s v="TXN100227"/>
    <n v="186"/>
    <x v="18"/>
    <d v="2026-01-15T22:58:00"/>
    <n v="49"/>
    <s v="Wallet"/>
    <s v="captured"/>
    <n v="55"/>
    <x v="17"/>
    <n v="1"/>
  </r>
  <r>
    <s v="TXN100228"/>
    <n v="224"/>
    <x v="35"/>
    <d v="2026-01-28T03:15:00"/>
    <n v="299"/>
    <s v="Wallet"/>
    <s v="failed"/>
    <n v="51"/>
    <x v="19"/>
    <n v="1"/>
  </r>
  <r>
    <s v="TXN100229"/>
    <n v="159"/>
    <x v="3"/>
    <d v="2026-01-17T02:25:00"/>
    <n v="799"/>
    <s v="UPI"/>
    <s v="captured"/>
    <n v="28"/>
    <x v="18"/>
    <n v="0"/>
  </r>
  <r>
    <s v="TXN100230"/>
    <n v="262"/>
    <x v="30"/>
    <d v="2026-01-11T05:04:00"/>
    <n v="149"/>
    <s v="UPI"/>
    <s v="captured"/>
    <n v="67"/>
    <x v="7"/>
    <n v="1"/>
  </r>
  <r>
    <s v="TXN100231"/>
    <n v="179"/>
    <x v="5"/>
    <d v="2026-01-17T06:57:00"/>
    <n v="49"/>
    <s v="Wallet"/>
    <s v="captured"/>
    <n v="93"/>
    <x v="18"/>
    <n v="1"/>
  </r>
  <r>
    <s v="TXN100232"/>
    <n v="76"/>
    <x v="0"/>
    <d v="2026-01-27T20:52:00"/>
    <n v="299"/>
    <s v="UPI"/>
    <s v="captured"/>
    <n v="13"/>
    <x v="6"/>
    <n v="0"/>
  </r>
  <r>
    <s v="TXN100233"/>
    <n v="89"/>
    <x v="38"/>
    <d v="2026-01-05T08:12:00"/>
    <n v="299"/>
    <s v="UPI"/>
    <s v="captured"/>
    <n v="19"/>
    <x v="14"/>
    <n v="1"/>
  </r>
  <r>
    <s v="TXN100234"/>
    <n v="91"/>
    <x v="33"/>
    <d v="2026-01-25T20:04:00"/>
    <n v="49"/>
    <s v="UPI"/>
    <s v="captured"/>
    <n v="59"/>
    <x v="21"/>
    <n v="1"/>
  </r>
  <r>
    <s v="TXN100235"/>
    <n v="297"/>
    <x v="26"/>
    <d v="2026-01-25T18:48:00"/>
    <n v="99"/>
    <s v="Card"/>
    <s v="chargeback"/>
    <n v="87"/>
    <x v="21"/>
    <n v="0"/>
  </r>
  <r>
    <s v="TXN100236"/>
    <n v="326"/>
    <x v="12"/>
    <d v="2026-01-30T18:41:00"/>
    <n v="499"/>
    <s v="Card"/>
    <s v="captured"/>
    <n v="41"/>
    <x v="3"/>
    <n v="1"/>
  </r>
  <r>
    <s v="TXN100237"/>
    <n v="78"/>
    <x v="26"/>
    <d v="2026-01-28T20:20:00"/>
    <n v="149"/>
    <s v="UPI"/>
    <s v="captured"/>
    <n v="8"/>
    <x v="19"/>
    <n v="1"/>
  </r>
  <r>
    <s v="TXN100238"/>
    <n v="156"/>
    <x v="7"/>
    <d v="2026-01-16T14:40:00"/>
    <n v="2999"/>
    <s v="Card"/>
    <s v="captured"/>
    <n v="75"/>
    <x v="24"/>
    <n v="1"/>
  </r>
  <r>
    <s v="TXN100239"/>
    <n v="38"/>
    <x v="15"/>
    <d v="2026-01-02T11:32:00"/>
    <n v="49"/>
    <s v="Wallet"/>
    <s v="failed"/>
    <n v="59"/>
    <x v="22"/>
    <n v="1"/>
  </r>
  <r>
    <s v="TXN100240"/>
    <n v="189"/>
    <x v="13"/>
    <d v="2026-01-15T01:03:00"/>
    <n v="99"/>
    <s v="UPI"/>
    <s v="failed"/>
    <n v="9"/>
    <x v="17"/>
    <n v="0"/>
  </r>
  <r>
    <s v="TXN100241"/>
    <n v="305"/>
    <x v="11"/>
    <d v="2026-01-21T02:39:00"/>
    <n v="299"/>
    <s v="Card"/>
    <s v="captured"/>
    <n v="49"/>
    <x v="8"/>
    <n v="0"/>
  </r>
  <r>
    <s v="TXN100242"/>
    <n v="22"/>
    <x v="26"/>
    <d v="2026-01-15T18:35:00"/>
    <n v="799"/>
    <s v="UPI"/>
    <s v="captured"/>
    <n v="73"/>
    <x v="17"/>
    <n v="0"/>
  </r>
  <r>
    <s v="TXN100243"/>
    <n v="310"/>
    <x v="20"/>
    <d v="2026-01-21T06:20:00"/>
    <n v="49"/>
    <s v="Card"/>
    <s v="captured"/>
    <n v="64"/>
    <x v="8"/>
    <n v="1"/>
  </r>
  <r>
    <s v="TXN100244"/>
    <n v="53"/>
    <x v="3"/>
    <d v="2026-01-05T01:28:00"/>
    <n v="299"/>
    <s v="UPI"/>
    <s v="captured"/>
    <n v="91"/>
    <x v="14"/>
    <n v="0"/>
  </r>
  <r>
    <s v="TXN100245"/>
    <n v="89"/>
    <x v="4"/>
    <d v="2026-01-03T16:41:00"/>
    <n v="149"/>
    <s v="Card"/>
    <s v="captured"/>
    <n v="31"/>
    <x v="29"/>
    <n v="1"/>
  </r>
  <r>
    <s v="TXN100246"/>
    <n v="269"/>
    <x v="36"/>
    <d v="2026-01-23T14:28:00"/>
    <n v="149"/>
    <s v="UPI"/>
    <s v="captured"/>
    <n v="78"/>
    <x v="20"/>
    <n v="0"/>
  </r>
  <r>
    <s v="TXN100247"/>
    <n v="145"/>
    <x v="14"/>
    <d v="2026-01-06T11:23:00"/>
    <n v="799"/>
    <s v="UPI"/>
    <s v="captured"/>
    <n v="52"/>
    <x v="4"/>
    <n v="1"/>
  </r>
  <r>
    <s v="TXN100248"/>
    <n v="307"/>
    <x v="29"/>
    <d v="2026-01-25T10:43:00"/>
    <n v="1499"/>
    <s v="UPI"/>
    <s v="captured"/>
    <n v="80"/>
    <x v="21"/>
    <n v="0"/>
  </r>
  <r>
    <s v="TXN100249"/>
    <n v="169"/>
    <x v="23"/>
    <d v="2026-01-21T10:04:00"/>
    <n v="1499"/>
    <s v="Wallet"/>
    <s v="captured"/>
    <n v="71"/>
    <x v="8"/>
    <n v="1"/>
  </r>
  <r>
    <s v="TXN100250"/>
    <n v="130"/>
    <x v="38"/>
    <d v="2026-01-22T12:18:00"/>
    <n v="2999"/>
    <s v="Wallet"/>
    <s v="captured"/>
    <n v="19"/>
    <x v="13"/>
    <n v="0"/>
  </r>
  <r>
    <s v="TXN100251"/>
    <n v="340"/>
    <x v="34"/>
    <d v="2026-01-11T02:37:00"/>
    <n v="49"/>
    <s v="Card"/>
    <s v="captured"/>
    <n v="44"/>
    <x v="7"/>
    <n v="1"/>
  </r>
  <r>
    <s v="TXN100252"/>
    <n v="340"/>
    <x v="22"/>
    <d v="2026-01-10T20:44:00"/>
    <n v="299"/>
    <s v="Card"/>
    <s v="captured"/>
    <n v="16"/>
    <x v="27"/>
    <n v="1"/>
  </r>
  <r>
    <s v="TXN100253"/>
    <n v="159"/>
    <x v="25"/>
    <d v="2026-01-20T22:05:00"/>
    <n v="49"/>
    <s v="UPI"/>
    <s v="captured"/>
    <n v="48"/>
    <x v="26"/>
    <n v="1"/>
  </r>
  <r>
    <s v="TXN100254"/>
    <n v="66"/>
    <x v="36"/>
    <d v="2026-01-21T10:52:00"/>
    <n v="799"/>
    <s v="UPI"/>
    <s v="captured"/>
    <n v="11"/>
    <x v="8"/>
    <n v="1"/>
  </r>
  <r>
    <s v="TXN100255"/>
    <n v="261"/>
    <x v="31"/>
    <d v="2026-01-21T21:27:00"/>
    <n v="799"/>
    <s v="Card"/>
    <s v="captured"/>
    <n v="2"/>
    <x v="8"/>
    <n v="1"/>
  </r>
  <r>
    <s v="TXN100256"/>
    <n v="110"/>
    <x v="3"/>
    <d v="2026-01-12T09:11:00"/>
    <n v="799"/>
    <s v="UPI"/>
    <s v="captured"/>
    <n v="98"/>
    <x v="28"/>
    <n v="1"/>
  </r>
  <r>
    <s v="TXN100257"/>
    <n v="71"/>
    <x v="34"/>
    <d v="2026-01-16T06:14:00"/>
    <n v="49"/>
    <s v="UPI"/>
    <s v="captured"/>
    <n v="9"/>
    <x v="24"/>
    <n v="1"/>
  </r>
  <r>
    <s v="TXN100258"/>
    <n v="277"/>
    <x v="36"/>
    <d v="2026-01-10T03:32:00"/>
    <n v="49"/>
    <s v="UPI"/>
    <s v="captured"/>
    <n v="4"/>
    <x v="27"/>
    <n v="1"/>
  </r>
  <r>
    <s v="TXN100259"/>
    <n v="317"/>
    <x v="39"/>
    <d v="2026-01-22T10:56:00"/>
    <n v="499"/>
    <s v="Wallet"/>
    <s v="captured"/>
    <n v="76"/>
    <x v="13"/>
    <n v="1"/>
  </r>
  <r>
    <s v="TXN100260"/>
    <n v="93"/>
    <x v="12"/>
    <d v="2026-01-13T04:10:00"/>
    <n v="299"/>
    <s v="UPI"/>
    <s v="captured"/>
    <n v="21"/>
    <x v="11"/>
    <n v="1"/>
  </r>
  <r>
    <s v="TXN100261"/>
    <n v="211"/>
    <x v="31"/>
    <d v="2026-01-24T14:02:00"/>
    <n v="99"/>
    <s v="Netbanking"/>
    <s v="captured"/>
    <n v="86"/>
    <x v="2"/>
    <n v="0"/>
  </r>
  <r>
    <s v="TXN100262"/>
    <n v="313"/>
    <x v="13"/>
    <d v="2026-01-24T07:28:00"/>
    <n v="149"/>
    <s v="UPI"/>
    <s v="captured"/>
    <n v="96"/>
    <x v="2"/>
    <n v="1"/>
  </r>
  <r>
    <s v="TXN100263"/>
    <n v="274"/>
    <x v="0"/>
    <d v="2026-01-24T14:14:00"/>
    <n v="49"/>
    <s v="Wallet"/>
    <s v="failed"/>
    <n v="39"/>
    <x v="2"/>
    <n v="1"/>
  </r>
  <r>
    <s v="TXN100264"/>
    <n v="100"/>
    <x v="31"/>
    <d v="2026-01-26T15:57:00"/>
    <n v="299"/>
    <s v="UPI"/>
    <s v="captured"/>
    <n v="86"/>
    <x v="16"/>
    <n v="0"/>
  </r>
  <r>
    <s v="TXN100265"/>
    <n v="145"/>
    <x v="14"/>
    <d v="2026-01-19T14:29:00"/>
    <n v="2999"/>
    <s v="Wallet"/>
    <s v="captured"/>
    <n v="64"/>
    <x v="23"/>
    <n v="0"/>
  </r>
  <r>
    <s v="TXN100266"/>
    <n v="103"/>
    <x v="38"/>
    <d v="2026-01-17T13:10:00"/>
    <n v="2999"/>
    <s v="Wallet"/>
    <s v="captured"/>
    <n v="17"/>
    <x v="18"/>
    <n v="1"/>
  </r>
  <r>
    <s v="TXN100267"/>
    <n v="329"/>
    <x v="20"/>
    <d v="2026-01-28T08:03:00"/>
    <n v="299"/>
    <s v="Wallet"/>
    <s v="captured"/>
    <n v="47"/>
    <x v="19"/>
    <n v="1"/>
  </r>
  <r>
    <s v="TXN100268"/>
    <n v="265"/>
    <x v="30"/>
    <d v="2026-01-18T03:45:00"/>
    <n v="499"/>
    <s v="Netbanking"/>
    <s v="captured"/>
    <n v="36"/>
    <x v="15"/>
    <n v="1"/>
  </r>
  <r>
    <s v="TXN100269"/>
    <n v="231"/>
    <x v="11"/>
    <d v="2026-01-03T05:17:00"/>
    <n v="149"/>
    <s v="UPI"/>
    <s v="failed"/>
    <n v="18"/>
    <x v="29"/>
    <n v="1"/>
  </r>
  <r>
    <s v="TXN100270"/>
    <n v="114"/>
    <x v="26"/>
    <d v="2026-01-27T13:05:00"/>
    <n v="799"/>
    <s v="UPI"/>
    <s v="chargeback"/>
    <n v="44"/>
    <x v="6"/>
    <n v="0"/>
  </r>
  <r>
    <s v="TXN100271"/>
    <n v="28"/>
    <x v="22"/>
    <d v="2026-01-30T00:26:00"/>
    <n v="1499"/>
    <s v="UPI"/>
    <s v="failed"/>
    <n v="64"/>
    <x v="3"/>
    <n v="1"/>
  </r>
  <r>
    <s v="TXN100272"/>
    <n v="42"/>
    <x v="31"/>
    <d v="2026-01-12T07:24:00"/>
    <n v="149"/>
    <s v="UPI"/>
    <s v="captured"/>
    <n v="28"/>
    <x v="28"/>
    <n v="1"/>
  </r>
  <r>
    <s v="TXN100273"/>
    <n v="51"/>
    <x v="3"/>
    <d v="2026-01-01T10:59:00"/>
    <n v="799"/>
    <s v="UPI"/>
    <s v="captured"/>
    <n v="18"/>
    <x v="9"/>
    <n v="1"/>
  </r>
  <r>
    <s v="TXN100274"/>
    <n v="242"/>
    <x v="39"/>
    <d v="2026-01-05T01:18:00"/>
    <n v="149"/>
    <s v="UPI"/>
    <s v="captured"/>
    <n v="97"/>
    <x v="14"/>
    <n v="1"/>
  </r>
  <r>
    <s v="TXN100275"/>
    <n v="316"/>
    <x v="37"/>
    <d v="2026-01-23T15:28:00"/>
    <n v="149"/>
    <s v="UPI"/>
    <s v="captured"/>
    <n v="10"/>
    <x v="20"/>
    <n v="0"/>
  </r>
  <r>
    <s v="TXN100276"/>
    <n v="77"/>
    <x v="25"/>
    <d v="2026-01-01T08:13:00"/>
    <n v="149"/>
    <s v="UPI"/>
    <s v="captured"/>
    <n v="93"/>
    <x v="9"/>
    <n v="1"/>
  </r>
  <r>
    <s v="TXN100277"/>
    <n v="57"/>
    <x v="13"/>
    <d v="2026-01-20T16:27:00"/>
    <n v="49"/>
    <s v="UPI"/>
    <s v="captured"/>
    <n v="30"/>
    <x v="26"/>
    <n v="1"/>
  </r>
  <r>
    <s v="TXN100278"/>
    <n v="123"/>
    <x v="1"/>
    <d v="2026-01-10T03:03:00"/>
    <n v="149"/>
    <s v="Netbanking"/>
    <s v="captured"/>
    <n v="81"/>
    <x v="27"/>
    <n v="1"/>
  </r>
  <r>
    <s v="TXN100279"/>
    <n v="33"/>
    <x v="30"/>
    <d v="2026-01-26T19:29:00"/>
    <n v="299"/>
    <s v="Wallet"/>
    <s v="captured"/>
    <n v="63"/>
    <x v="16"/>
    <n v="0"/>
  </r>
  <r>
    <s v="TXN100280"/>
    <n v="324"/>
    <x v="11"/>
    <d v="2026-01-20T17:01:00"/>
    <n v="499"/>
    <s v="UPI"/>
    <s v="captured"/>
    <n v="73"/>
    <x v="26"/>
    <n v="1"/>
  </r>
  <r>
    <s v="TXN100281"/>
    <n v="150"/>
    <x v="10"/>
    <d v="2026-01-08T22:09:00"/>
    <n v="49"/>
    <s v="UPI"/>
    <s v="failed"/>
    <n v="0"/>
    <x v="5"/>
    <n v="1"/>
  </r>
  <r>
    <s v="TXN100282"/>
    <n v="293"/>
    <x v="1"/>
    <d v="2026-01-20T11:15:00"/>
    <n v="4999"/>
    <s v="UPI"/>
    <s v="captured"/>
    <n v="23"/>
    <x v="26"/>
    <n v="1"/>
  </r>
  <r>
    <s v="TXN100283"/>
    <n v="269"/>
    <x v="31"/>
    <d v="2026-01-22T21:05:00"/>
    <n v="49"/>
    <s v="Wallet"/>
    <s v="captured"/>
    <n v="8"/>
    <x v="13"/>
    <n v="1"/>
  </r>
  <r>
    <s v="TXN100284"/>
    <n v="260"/>
    <x v="25"/>
    <d v="2026-01-17T17:32:00"/>
    <n v="1499"/>
    <s v="UPI"/>
    <s v="captured"/>
    <n v="2"/>
    <x v="18"/>
    <n v="1"/>
  </r>
  <r>
    <s v="TXN100285"/>
    <n v="326"/>
    <x v="14"/>
    <d v="2026-01-13T15:02:00"/>
    <n v="49"/>
    <s v="UPI"/>
    <s v="captured"/>
    <n v="47"/>
    <x v="11"/>
    <n v="1"/>
  </r>
  <r>
    <s v="TXN100286"/>
    <n v="183"/>
    <x v="32"/>
    <d v="2026-01-09T23:01:00"/>
    <n v="49"/>
    <s v="Card"/>
    <s v="captured"/>
    <n v="44"/>
    <x v="10"/>
    <n v="1"/>
  </r>
  <r>
    <s v="TXN100287"/>
    <n v="322"/>
    <x v="23"/>
    <d v="2026-01-08T23:42:00"/>
    <n v="299"/>
    <s v="UPI"/>
    <s v="captured"/>
    <n v="98"/>
    <x v="5"/>
    <n v="1"/>
  </r>
  <r>
    <s v="TXN100288"/>
    <n v="171"/>
    <x v="39"/>
    <d v="2026-01-19T23:48:00"/>
    <n v="299"/>
    <s v="UPI"/>
    <s v="captured"/>
    <n v="5"/>
    <x v="23"/>
    <n v="1"/>
  </r>
  <r>
    <s v="TXN100289"/>
    <n v="330"/>
    <x v="9"/>
    <d v="2026-01-12T17:21:00"/>
    <n v="1499"/>
    <s v="Netbanking"/>
    <s v="captured"/>
    <n v="99"/>
    <x v="28"/>
    <n v="1"/>
  </r>
  <r>
    <s v="TXN100290"/>
    <n v="246"/>
    <x v="9"/>
    <d v="2026-01-22T14:44:00"/>
    <n v="99"/>
    <s v="Wallet"/>
    <s v="captured"/>
    <n v="17"/>
    <x v="13"/>
    <n v="1"/>
  </r>
  <r>
    <s v="TXN100291"/>
    <n v="235"/>
    <x v="4"/>
    <d v="2026-01-03T22:49:00"/>
    <n v="49"/>
    <s v="UPI"/>
    <s v="captured"/>
    <n v="37"/>
    <x v="29"/>
    <n v="0"/>
  </r>
  <r>
    <s v="TXN100292"/>
    <n v="103"/>
    <x v="4"/>
    <d v="2026-01-07T01:50:00"/>
    <n v="499"/>
    <s v="UPI"/>
    <s v="captured"/>
    <n v="40"/>
    <x v="25"/>
    <n v="1"/>
  </r>
  <r>
    <s v="TXN100293"/>
    <n v="204"/>
    <x v="8"/>
    <d v="2026-01-30T09:32:00"/>
    <n v="99"/>
    <s v="Wallet"/>
    <s v="captured"/>
    <n v="60"/>
    <x v="3"/>
    <n v="1"/>
  </r>
  <r>
    <s v="TXN100294"/>
    <n v="332"/>
    <x v="6"/>
    <d v="2026-01-09T01:48:00"/>
    <n v="49"/>
    <s v="Card"/>
    <s v="captured"/>
    <n v="36"/>
    <x v="10"/>
    <n v="0"/>
  </r>
  <r>
    <s v="TXN100295"/>
    <n v="336"/>
    <x v="3"/>
    <d v="2026-01-12T01:55:00"/>
    <n v="499"/>
    <s v="UPI"/>
    <s v="captured"/>
    <n v="34"/>
    <x v="28"/>
    <n v="0"/>
  </r>
  <r>
    <s v="TXN100296"/>
    <n v="205"/>
    <x v="26"/>
    <d v="2026-01-04T11:27:00"/>
    <n v="99"/>
    <s v="Wallet"/>
    <s v="captured"/>
    <n v="49"/>
    <x v="1"/>
    <n v="1"/>
  </r>
  <r>
    <s v="TXN100297"/>
    <n v="255"/>
    <x v="31"/>
    <d v="2026-01-11T05:31:00"/>
    <n v="799"/>
    <s v="UPI"/>
    <s v="captured"/>
    <n v="66"/>
    <x v="7"/>
    <n v="1"/>
  </r>
  <r>
    <s v="TXN100298"/>
    <n v="218"/>
    <x v="18"/>
    <d v="2026-01-09T02:46:00"/>
    <n v="99"/>
    <s v="UPI"/>
    <s v="captured"/>
    <n v="55"/>
    <x v="10"/>
    <n v="1"/>
  </r>
  <r>
    <s v="TXN100299"/>
    <n v="151"/>
    <x v="17"/>
    <d v="2026-01-20T05:34:00"/>
    <n v="49"/>
    <s v="UPI"/>
    <s v="captured"/>
    <n v="13"/>
    <x v="26"/>
    <n v="1"/>
  </r>
  <r>
    <s v="TXN100300"/>
    <n v="152"/>
    <x v="15"/>
    <d v="2026-01-03T10:42:00"/>
    <n v="49"/>
    <s v="UPI"/>
    <s v="captured"/>
    <n v="57"/>
    <x v="29"/>
    <n v="1"/>
  </r>
  <r>
    <s v="TXN100301"/>
    <n v="86"/>
    <x v="26"/>
    <d v="2026-01-20T22:27:00"/>
    <n v="149"/>
    <s v="Card"/>
    <s v="captured"/>
    <n v="44"/>
    <x v="26"/>
    <n v="1"/>
  </r>
  <r>
    <s v="TXN100302"/>
    <n v="181"/>
    <x v="12"/>
    <d v="2026-01-15T01:46:00"/>
    <n v="149"/>
    <s v="UPI"/>
    <s v="captured"/>
    <n v="55"/>
    <x v="17"/>
    <n v="1"/>
  </r>
  <r>
    <s v="TXN100303"/>
    <n v="30"/>
    <x v="32"/>
    <d v="2026-01-09T20:50:00"/>
    <n v="299"/>
    <s v="UPI"/>
    <s v="captured"/>
    <n v="85"/>
    <x v="10"/>
    <n v="0"/>
  </r>
  <r>
    <s v="TXN100304"/>
    <n v="263"/>
    <x v="2"/>
    <d v="2026-01-21T12:23:00"/>
    <n v="149"/>
    <s v="Wallet"/>
    <s v="captured"/>
    <n v="3"/>
    <x v="8"/>
    <n v="1"/>
  </r>
  <r>
    <s v="TXN100305"/>
    <n v="225"/>
    <x v="4"/>
    <d v="2026-01-05T19:43:00"/>
    <n v="99"/>
    <s v="Netbanking"/>
    <s v="captured"/>
    <n v="16"/>
    <x v="14"/>
    <n v="1"/>
  </r>
  <r>
    <s v="TXN100306"/>
    <n v="331"/>
    <x v="31"/>
    <d v="2026-01-03T07:49:00"/>
    <n v="49"/>
    <s v="Card"/>
    <s v="captured"/>
    <n v="46"/>
    <x v="29"/>
    <n v="1"/>
  </r>
  <r>
    <s v="TXN100307"/>
    <n v="310"/>
    <x v="34"/>
    <d v="2026-01-13T18:02:00"/>
    <n v="1499"/>
    <s v="Card"/>
    <s v="captured"/>
    <n v="86"/>
    <x v="11"/>
    <n v="1"/>
  </r>
  <r>
    <s v="TXN100308"/>
    <n v="228"/>
    <x v="32"/>
    <d v="2026-01-15T11:23:00"/>
    <n v="49"/>
    <s v="UPI"/>
    <s v="captured"/>
    <n v="73"/>
    <x v="17"/>
    <n v="1"/>
  </r>
  <r>
    <s v="TXN100309"/>
    <n v="204"/>
    <x v="17"/>
    <d v="2026-01-05T16:23:00"/>
    <n v="499"/>
    <s v="UPI"/>
    <s v="captured"/>
    <n v="83"/>
    <x v="14"/>
    <n v="1"/>
  </r>
  <r>
    <s v="TXN100310"/>
    <n v="14"/>
    <x v="9"/>
    <d v="2026-01-09T07:07:00"/>
    <n v="799"/>
    <s v="Netbanking"/>
    <s v="captured"/>
    <n v="63"/>
    <x v="10"/>
    <n v="1"/>
  </r>
  <r>
    <s v="TXN100311"/>
    <n v="288"/>
    <x v="30"/>
    <d v="2026-01-17T12:58:00"/>
    <n v="49"/>
    <s v="UPI"/>
    <s v="captured"/>
    <n v="33"/>
    <x v="18"/>
    <n v="0"/>
  </r>
  <r>
    <s v="TXN100312"/>
    <n v="229"/>
    <x v="16"/>
    <d v="2026-01-25T08:45:00"/>
    <n v="1499"/>
    <s v="UPI"/>
    <s v="captured"/>
    <n v="78"/>
    <x v="21"/>
    <n v="1"/>
  </r>
  <r>
    <s v="TXN100313"/>
    <n v="252"/>
    <x v="6"/>
    <d v="2026-01-10T22:58:00"/>
    <n v="99"/>
    <s v="Wallet"/>
    <s v="captured"/>
    <n v="15"/>
    <x v="27"/>
    <n v="1"/>
  </r>
  <r>
    <s v="TXN100314"/>
    <n v="89"/>
    <x v="26"/>
    <d v="2026-01-05T02:28:00"/>
    <n v="799"/>
    <s v="UPI"/>
    <s v="captured"/>
    <n v="11"/>
    <x v="14"/>
    <n v="1"/>
  </r>
  <r>
    <s v="TXN100315"/>
    <n v="164"/>
    <x v="5"/>
    <d v="2026-01-26T21:54:00"/>
    <n v="49"/>
    <s v="Netbanking"/>
    <s v="captured"/>
    <n v="90"/>
    <x v="16"/>
    <n v="1"/>
  </r>
  <r>
    <s v="TXN100316"/>
    <n v="149"/>
    <x v="15"/>
    <d v="2026-01-03T17:34:00"/>
    <n v="299"/>
    <s v="Wallet"/>
    <s v="captured"/>
    <n v="20"/>
    <x v="29"/>
    <n v="0"/>
  </r>
  <r>
    <s v="TXN100317"/>
    <n v="327"/>
    <x v="9"/>
    <d v="2026-01-23T22:59:00"/>
    <n v="49"/>
    <s v="Netbanking"/>
    <s v="captured"/>
    <n v="46"/>
    <x v="20"/>
    <n v="1"/>
  </r>
  <r>
    <s v="TXN100318"/>
    <n v="103"/>
    <x v="39"/>
    <d v="2026-01-17T07:07:00"/>
    <n v="149"/>
    <s v="UPI"/>
    <s v="captured"/>
    <n v="30"/>
    <x v="18"/>
    <n v="1"/>
  </r>
  <r>
    <s v="TXN100319"/>
    <n v="185"/>
    <x v="25"/>
    <d v="2026-01-26T15:01:00"/>
    <n v="49"/>
    <s v="Wallet"/>
    <s v="captured"/>
    <n v="73"/>
    <x v="16"/>
    <n v="0"/>
  </r>
  <r>
    <s v="TXN100320"/>
    <n v="283"/>
    <x v="39"/>
    <d v="2026-01-12T14:51:00"/>
    <n v="299"/>
    <s v="UPI"/>
    <s v="captured"/>
    <n v="78"/>
    <x v="28"/>
    <n v="1"/>
  </r>
  <r>
    <s v="TXN100321"/>
    <n v="159"/>
    <x v="22"/>
    <d v="2026-01-29T02:04:00"/>
    <n v="99"/>
    <s v="UPI"/>
    <s v="captured"/>
    <n v="91"/>
    <x v="0"/>
    <n v="1"/>
  </r>
  <r>
    <s v="TXN100322"/>
    <n v="211"/>
    <x v="1"/>
    <d v="2026-01-24T15:33:00"/>
    <n v="99"/>
    <s v="Wallet"/>
    <s v="captured"/>
    <n v="73"/>
    <x v="2"/>
    <n v="1"/>
  </r>
  <r>
    <s v="TXN100323"/>
    <n v="329"/>
    <x v="32"/>
    <d v="2026-01-03T04:20:00"/>
    <n v="499"/>
    <s v="Netbanking"/>
    <s v="captured"/>
    <n v="57"/>
    <x v="29"/>
    <n v="1"/>
  </r>
  <r>
    <s v="TXN100324"/>
    <n v="177"/>
    <x v="39"/>
    <d v="2026-01-15T21:33:00"/>
    <n v="99"/>
    <s v="UPI"/>
    <s v="captured"/>
    <n v="99"/>
    <x v="17"/>
    <n v="0"/>
  </r>
  <r>
    <s v="TXN100325"/>
    <n v="94"/>
    <x v="39"/>
    <d v="2026-01-18T20:37:00"/>
    <n v="299"/>
    <s v="UPI"/>
    <s v="captured"/>
    <n v="55"/>
    <x v="15"/>
    <n v="1"/>
  </r>
  <r>
    <s v="TXN100326"/>
    <n v="64"/>
    <x v="36"/>
    <d v="2026-01-17T01:53:00"/>
    <n v="299"/>
    <s v="UPI"/>
    <s v="captured"/>
    <n v="19"/>
    <x v="18"/>
    <n v="1"/>
  </r>
  <r>
    <s v="TXN100327"/>
    <n v="166"/>
    <x v="19"/>
    <d v="2026-01-10T05:10:00"/>
    <n v="49"/>
    <s v="UPI"/>
    <s v="captured"/>
    <n v="44"/>
    <x v="27"/>
    <n v="1"/>
  </r>
  <r>
    <s v="TXN100328"/>
    <n v="41"/>
    <x v="28"/>
    <d v="2026-01-17T09:54:00"/>
    <n v="299"/>
    <s v="Wallet"/>
    <s v="captured"/>
    <n v="25"/>
    <x v="18"/>
    <n v="1"/>
  </r>
  <r>
    <s v="TXN100329"/>
    <n v="65"/>
    <x v="15"/>
    <d v="2026-01-21T17:17:00"/>
    <n v="99"/>
    <s v="Card"/>
    <s v="captured"/>
    <n v="78"/>
    <x v="8"/>
    <n v="1"/>
  </r>
  <r>
    <s v="TXN100330"/>
    <n v="329"/>
    <x v="2"/>
    <d v="2026-01-18T02:32:00"/>
    <n v="499"/>
    <s v="UPI"/>
    <s v="captured"/>
    <n v="75"/>
    <x v="15"/>
    <n v="1"/>
  </r>
  <r>
    <s v="TXN100331"/>
    <n v="338"/>
    <x v="12"/>
    <d v="2026-01-19T04:10:00"/>
    <n v="149"/>
    <s v="UPI"/>
    <s v="captured"/>
    <n v="92"/>
    <x v="23"/>
    <n v="1"/>
  </r>
  <r>
    <s v="TXN100332"/>
    <n v="289"/>
    <x v="4"/>
    <d v="2026-01-29T19:21:00"/>
    <n v="49"/>
    <s v="Netbanking"/>
    <s v="captured"/>
    <n v="3"/>
    <x v="0"/>
    <n v="1"/>
  </r>
  <r>
    <s v="TXN100333"/>
    <n v="296"/>
    <x v="28"/>
    <d v="2026-01-03T01:41:00"/>
    <n v="99"/>
    <s v="UPI"/>
    <s v="captured"/>
    <n v="83"/>
    <x v="29"/>
    <n v="1"/>
  </r>
  <r>
    <s v="TXN100334"/>
    <n v="317"/>
    <x v="27"/>
    <d v="2026-01-07T18:26:00"/>
    <n v="499"/>
    <s v="Card"/>
    <s v="captured"/>
    <n v="63"/>
    <x v="25"/>
    <n v="1"/>
  </r>
  <r>
    <s v="TXN100335"/>
    <n v="149"/>
    <x v="15"/>
    <d v="2026-01-29T20:34:00"/>
    <n v="499"/>
    <s v="Card"/>
    <s v="captured"/>
    <n v="61"/>
    <x v="0"/>
    <n v="1"/>
  </r>
  <r>
    <s v="TXN100336"/>
    <n v="153"/>
    <x v="24"/>
    <d v="2026-01-08T21:25:00"/>
    <n v="299"/>
    <s v="UPI"/>
    <s v="captured"/>
    <n v="9"/>
    <x v="5"/>
    <n v="0"/>
  </r>
  <r>
    <s v="TXN100337"/>
    <n v="226"/>
    <x v="1"/>
    <d v="2026-01-23T01:10:00"/>
    <n v="2999"/>
    <s v="UPI"/>
    <s v="chargeback"/>
    <n v="61"/>
    <x v="20"/>
    <n v="1"/>
  </r>
  <r>
    <s v="TXN100338"/>
    <n v="311"/>
    <x v="34"/>
    <d v="2026-01-15T06:21:00"/>
    <n v="2999"/>
    <s v="UPI"/>
    <s v="captured"/>
    <n v="40"/>
    <x v="17"/>
    <n v="1"/>
  </r>
  <r>
    <s v="TXN100339"/>
    <n v="177"/>
    <x v="22"/>
    <d v="2026-01-28T22:20:00"/>
    <n v="1499"/>
    <s v="UPI"/>
    <s v="captured"/>
    <n v="16"/>
    <x v="19"/>
    <n v="1"/>
  </r>
  <r>
    <s v="TXN100340"/>
    <n v="288"/>
    <x v="23"/>
    <d v="2026-01-25T11:32:00"/>
    <n v="99"/>
    <s v="Netbanking"/>
    <s v="captured"/>
    <n v="40"/>
    <x v="21"/>
    <n v="1"/>
  </r>
  <r>
    <s v="TXN100341"/>
    <n v="137"/>
    <x v="26"/>
    <d v="2026-01-08T14:07:00"/>
    <n v="2999"/>
    <s v="UPI"/>
    <s v="failed"/>
    <n v="31"/>
    <x v="5"/>
    <n v="1"/>
  </r>
  <r>
    <s v="TXN100342"/>
    <n v="149"/>
    <x v="14"/>
    <d v="2026-01-05T03:03:00"/>
    <n v="1499"/>
    <s v="UPI"/>
    <s v="captured"/>
    <n v="78"/>
    <x v="14"/>
    <n v="0"/>
  </r>
  <r>
    <s v="TXN100343"/>
    <n v="82"/>
    <x v="17"/>
    <d v="2026-01-14T07:55:00"/>
    <n v="49"/>
    <s v="Wallet"/>
    <s v="captured"/>
    <n v="73"/>
    <x v="12"/>
    <n v="1"/>
  </r>
  <r>
    <s v="TXN100344"/>
    <n v="82"/>
    <x v="33"/>
    <d v="2026-01-24T10:12:00"/>
    <n v="49"/>
    <s v="UPI"/>
    <s v="captured"/>
    <n v="65"/>
    <x v="2"/>
    <n v="1"/>
  </r>
  <r>
    <s v="TXN100345"/>
    <n v="158"/>
    <x v="33"/>
    <d v="2026-01-15T15:56:00"/>
    <n v="99"/>
    <s v="Wallet"/>
    <s v="captured"/>
    <n v="2"/>
    <x v="17"/>
    <n v="1"/>
  </r>
  <r>
    <s v="TXN100346"/>
    <n v="235"/>
    <x v="0"/>
    <d v="2026-01-03T12:32:00"/>
    <n v="99"/>
    <s v="UPI"/>
    <s v="captured"/>
    <n v="27"/>
    <x v="29"/>
    <n v="1"/>
  </r>
  <r>
    <s v="TXN100347"/>
    <n v="26"/>
    <x v="13"/>
    <d v="2026-01-19T11:03:00"/>
    <n v="99"/>
    <s v="Wallet"/>
    <s v="captured"/>
    <n v="63"/>
    <x v="23"/>
    <n v="1"/>
  </r>
  <r>
    <s v="TXN100348"/>
    <n v="241"/>
    <x v="13"/>
    <d v="2026-01-20T20:43:00"/>
    <n v="299"/>
    <s v="UPI"/>
    <s v="captured"/>
    <n v="68"/>
    <x v="26"/>
    <n v="0"/>
  </r>
  <r>
    <s v="TXN100349"/>
    <n v="69"/>
    <x v="28"/>
    <d v="2026-01-01T03:27:00"/>
    <n v="1499"/>
    <s v="UPI"/>
    <s v="captured"/>
    <n v="93"/>
    <x v="9"/>
    <n v="1"/>
  </r>
  <r>
    <s v="TXN100350"/>
    <n v="24"/>
    <x v="22"/>
    <d v="2026-01-12T12:23:00"/>
    <n v="299"/>
    <s v="Netbanking"/>
    <s v="captured"/>
    <n v="6"/>
    <x v="28"/>
    <n v="1"/>
  </r>
  <r>
    <s v="TXN100351"/>
    <n v="186"/>
    <x v="25"/>
    <d v="2026-01-19T17:12:00"/>
    <n v="4999"/>
    <s v="UPI"/>
    <s v="captured"/>
    <n v="36"/>
    <x v="23"/>
    <n v="1"/>
  </r>
  <r>
    <s v="TXN100352"/>
    <n v="231"/>
    <x v="25"/>
    <d v="2026-01-03T12:32:00"/>
    <n v="149"/>
    <s v="UPI"/>
    <s v="captured"/>
    <n v="35"/>
    <x v="29"/>
    <n v="1"/>
  </r>
  <r>
    <s v="TXN100353"/>
    <n v="313"/>
    <x v="30"/>
    <d v="2026-01-27T19:43:00"/>
    <n v="1499"/>
    <s v="Netbanking"/>
    <s v="captured"/>
    <n v="16"/>
    <x v="6"/>
    <n v="1"/>
  </r>
  <r>
    <s v="TXN100354"/>
    <n v="174"/>
    <x v="25"/>
    <d v="2026-01-04T12:23:00"/>
    <n v="149"/>
    <s v="UPI"/>
    <s v="captured"/>
    <n v="46"/>
    <x v="1"/>
    <n v="1"/>
  </r>
  <r>
    <s v="TXN100355"/>
    <n v="309"/>
    <x v="11"/>
    <d v="2026-01-25T04:12:00"/>
    <n v="99"/>
    <s v="UPI"/>
    <s v="captured"/>
    <n v="51"/>
    <x v="21"/>
    <n v="1"/>
  </r>
  <r>
    <s v="TXN100356"/>
    <n v="20"/>
    <x v="39"/>
    <d v="2026-01-17T01:02:00"/>
    <n v="99"/>
    <s v="UPI"/>
    <s v="captured"/>
    <n v="91"/>
    <x v="18"/>
    <n v="0"/>
  </r>
  <r>
    <s v="TXN100357"/>
    <n v="234"/>
    <x v="34"/>
    <d v="2026-01-11T15:33:00"/>
    <n v="49"/>
    <s v="UPI"/>
    <s v="captured"/>
    <n v="77"/>
    <x v="7"/>
    <n v="0"/>
  </r>
  <r>
    <s v="TXN100358"/>
    <n v="168"/>
    <x v="12"/>
    <d v="2026-01-29T16:08:00"/>
    <n v="149"/>
    <s v="UPI"/>
    <s v="chargeback"/>
    <n v="40"/>
    <x v="0"/>
    <n v="1"/>
  </r>
  <r>
    <s v="TXN100359"/>
    <n v="154"/>
    <x v="35"/>
    <d v="2026-01-06T12:39:00"/>
    <n v="99"/>
    <s v="Netbanking"/>
    <s v="captured"/>
    <n v="43"/>
    <x v="4"/>
    <n v="1"/>
  </r>
  <r>
    <s v="TXN100360"/>
    <n v="251"/>
    <x v="21"/>
    <d v="2026-01-17T16:34:00"/>
    <n v="49"/>
    <s v="UPI"/>
    <s v="captured"/>
    <n v="38"/>
    <x v="18"/>
    <n v="1"/>
  </r>
  <r>
    <s v="TXN100361"/>
    <n v="170"/>
    <x v="30"/>
    <d v="2026-01-16T00:23:00"/>
    <n v="2999"/>
    <s v="UPI"/>
    <s v="captured"/>
    <n v="53"/>
    <x v="24"/>
    <n v="1"/>
  </r>
  <r>
    <s v="TXN100362"/>
    <n v="323"/>
    <x v="27"/>
    <d v="2026-01-19T09:50:00"/>
    <n v="49"/>
    <s v="Netbanking"/>
    <s v="captured"/>
    <n v="76"/>
    <x v="23"/>
    <n v="1"/>
  </r>
  <r>
    <s v="TXN100363"/>
    <n v="297"/>
    <x v="21"/>
    <d v="2026-01-16T08:41:00"/>
    <n v="2999"/>
    <s v="Wallet"/>
    <s v="captured"/>
    <n v="29"/>
    <x v="24"/>
    <n v="1"/>
  </r>
  <r>
    <s v="TXN100364"/>
    <n v="246"/>
    <x v="2"/>
    <d v="2026-01-24T01:37:00"/>
    <n v="299"/>
    <s v="UPI"/>
    <s v="captured"/>
    <n v="67"/>
    <x v="2"/>
    <n v="0"/>
  </r>
  <r>
    <s v="TXN100365"/>
    <n v="195"/>
    <x v="34"/>
    <d v="2026-01-21T23:39:00"/>
    <n v="99"/>
    <s v="UPI"/>
    <s v="captured"/>
    <n v="87"/>
    <x v="8"/>
    <n v="0"/>
  </r>
  <r>
    <s v="TXN100366"/>
    <n v="57"/>
    <x v="6"/>
    <d v="2026-01-08T01:36:00"/>
    <n v="149"/>
    <s v="UPI"/>
    <s v="captured"/>
    <n v="2"/>
    <x v="5"/>
    <n v="1"/>
  </r>
  <r>
    <s v="TXN100367"/>
    <n v="78"/>
    <x v="1"/>
    <d v="2026-01-15T10:26:00"/>
    <n v="1499"/>
    <s v="Netbanking"/>
    <s v="failed"/>
    <n v="88"/>
    <x v="17"/>
    <n v="1"/>
  </r>
  <r>
    <s v="TXN100368"/>
    <n v="314"/>
    <x v="20"/>
    <d v="2026-01-07T13:32:00"/>
    <n v="49"/>
    <s v="UPI"/>
    <s v="chargeback"/>
    <n v="94"/>
    <x v="25"/>
    <n v="1"/>
  </r>
  <r>
    <s v="TXN100369"/>
    <n v="71"/>
    <x v="36"/>
    <d v="2026-01-24T01:45:00"/>
    <n v="499"/>
    <s v="UPI"/>
    <s v="captured"/>
    <n v="26"/>
    <x v="2"/>
    <n v="0"/>
  </r>
  <r>
    <s v="TXN100370"/>
    <n v="245"/>
    <x v="36"/>
    <d v="2026-01-18T10:42:00"/>
    <n v="99"/>
    <s v="UPI"/>
    <s v="captured"/>
    <n v="48"/>
    <x v="15"/>
    <n v="1"/>
  </r>
  <r>
    <s v="TXN100371"/>
    <n v="273"/>
    <x v="3"/>
    <d v="2026-01-11T05:29:00"/>
    <n v="299"/>
    <s v="Wallet"/>
    <s v="captured"/>
    <n v="69"/>
    <x v="7"/>
    <n v="1"/>
  </r>
  <r>
    <s v="TXN100372"/>
    <n v="349"/>
    <x v="28"/>
    <d v="2026-01-12T21:49:00"/>
    <n v="1499"/>
    <s v="UPI"/>
    <s v="captured"/>
    <n v="78"/>
    <x v="28"/>
    <n v="1"/>
  </r>
  <r>
    <s v="TXN100373"/>
    <n v="143"/>
    <x v="25"/>
    <d v="2026-01-16T06:15:00"/>
    <n v="1499"/>
    <s v="Netbanking"/>
    <s v="captured"/>
    <n v="38"/>
    <x v="24"/>
    <n v="1"/>
  </r>
  <r>
    <s v="TXN100374"/>
    <n v="148"/>
    <x v="16"/>
    <d v="2026-01-08T09:49:00"/>
    <n v="799"/>
    <s v="Wallet"/>
    <s v="captured"/>
    <n v="88"/>
    <x v="5"/>
    <n v="1"/>
  </r>
  <r>
    <s v="TXN100375"/>
    <n v="246"/>
    <x v="5"/>
    <d v="2026-01-23T15:20:00"/>
    <n v="49"/>
    <s v="UPI"/>
    <s v="captured"/>
    <n v="71"/>
    <x v="20"/>
    <n v="0"/>
  </r>
  <r>
    <s v="TXN100376"/>
    <n v="148"/>
    <x v="30"/>
    <d v="2026-01-30T23:17:00"/>
    <n v="99"/>
    <s v="Wallet"/>
    <s v="captured"/>
    <n v="73"/>
    <x v="3"/>
    <n v="1"/>
  </r>
  <r>
    <s v="TXN100377"/>
    <n v="203"/>
    <x v="5"/>
    <d v="2026-01-22T17:24:00"/>
    <n v="49"/>
    <s v="UPI"/>
    <s v="captured"/>
    <n v="98"/>
    <x v="13"/>
    <n v="1"/>
  </r>
  <r>
    <s v="TXN100378"/>
    <n v="22"/>
    <x v="13"/>
    <d v="2026-01-26T04:18:00"/>
    <n v="49"/>
    <s v="Card"/>
    <s v="captured"/>
    <n v="91"/>
    <x v="16"/>
    <n v="1"/>
  </r>
  <r>
    <s v="TXN100379"/>
    <n v="227"/>
    <x v="28"/>
    <d v="2026-01-03T11:59:00"/>
    <n v="299"/>
    <s v="Wallet"/>
    <s v="captured"/>
    <n v="95"/>
    <x v="29"/>
    <n v="0"/>
  </r>
  <r>
    <s v="TXN100380"/>
    <n v="276"/>
    <x v="7"/>
    <d v="2026-01-16T06:12:00"/>
    <n v="149"/>
    <s v="Wallet"/>
    <s v="captured"/>
    <n v="71"/>
    <x v="24"/>
    <n v="0"/>
  </r>
  <r>
    <s v="TXN100381"/>
    <n v="56"/>
    <x v="12"/>
    <d v="2026-01-23T08:08:00"/>
    <n v="99"/>
    <s v="Card"/>
    <s v="captured"/>
    <n v="94"/>
    <x v="20"/>
    <n v="1"/>
  </r>
  <r>
    <s v="TXN100382"/>
    <n v="26"/>
    <x v="36"/>
    <d v="2026-01-19T07:15:00"/>
    <n v="499"/>
    <s v="Card"/>
    <s v="captured"/>
    <n v="28"/>
    <x v="23"/>
    <n v="1"/>
  </r>
  <r>
    <s v="TXN100383"/>
    <n v="52"/>
    <x v="1"/>
    <d v="2026-01-21T07:03:00"/>
    <n v="499"/>
    <s v="Card"/>
    <s v="captured"/>
    <n v="42"/>
    <x v="8"/>
    <n v="1"/>
  </r>
  <r>
    <s v="TXN100384"/>
    <n v="349"/>
    <x v="39"/>
    <d v="2026-01-23T15:06:00"/>
    <n v="499"/>
    <s v="Wallet"/>
    <s v="captured"/>
    <n v="0"/>
    <x v="20"/>
    <n v="1"/>
  </r>
  <r>
    <s v="TXN100385"/>
    <n v="335"/>
    <x v="20"/>
    <d v="2026-01-18T05:26:00"/>
    <n v="49"/>
    <s v="Card"/>
    <s v="captured"/>
    <n v="61"/>
    <x v="15"/>
    <n v="1"/>
  </r>
  <r>
    <s v="TXN100386"/>
    <n v="148"/>
    <x v="17"/>
    <d v="2026-01-21T06:48:00"/>
    <n v="49"/>
    <s v="Card"/>
    <s v="captured"/>
    <n v="36"/>
    <x v="8"/>
    <n v="1"/>
  </r>
  <r>
    <s v="TXN100387"/>
    <n v="46"/>
    <x v="21"/>
    <d v="2026-01-21T01:58:00"/>
    <n v="99"/>
    <s v="Wallet"/>
    <s v="captured"/>
    <n v="29"/>
    <x v="8"/>
    <n v="1"/>
  </r>
  <r>
    <s v="TXN100388"/>
    <n v="20"/>
    <x v="9"/>
    <d v="2026-01-18T23:46:00"/>
    <n v="799"/>
    <s v="Card"/>
    <s v="captured"/>
    <n v="53"/>
    <x v="15"/>
    <n v="1"/>
  </r>
  <r>
    <s v="TXN100389"/>
    <n v="19"/>
    <x v="22"/>
    <d v="2026-01-29T05:59:00"/>
    <n v="49"/>
    <s v="UPI"/>
    <s v="captured"/>
    <n v="100"/>
    <x v="0"/>
    <n v="0"/>
  </r>
  <r>
    <s v="TXN100390"/>
    <n v="149"/>
    <x v="4"/>
    <d v="2026-01-16T05:59:00"/>
    <n v="4999"/>
    <s v="Wallet"/>
    <s v="captured"/>
    <n v="1"/>
    <x v="24"/>
    <n v="1"/>
  </r>
  <r>
    <s v="TXN100391"/>
    <n v="55"/>
    <x v="3"/>
    <d v="2026-01-10T18:38:00"/>
    <n v="499"/>
    <s v="UPI"/>
    <s v="captured"/>
    <n v="36"/>
    <x v="27"/>
    <n v="1"/>
  </r>
  <r>
    <s v="TXN100392"/>
    <n v="269"/>
    <x v="33"/>
    <d v="2026-01-15T20:34:00"/>
    <n v="49"/>
    <s v="Card"/>
    <s v="captured"/>
    <n v="17"/>
    <x v="17"/>
    <n v="0"/>
  </r>
  <r>
    <s v="TXN100393"/>
    <n v="140"/>
    <x v="6"/>
    <d v="2026-01-28T16:29:00"/>
    <n v="2999"/>
    <s v="UPI"/>
    <s v="captured"/>
    <n v="14"/>
    <x v="19"/>
    <n v="1"/>
  </r>
  <r>
    <s v="TXN100394"/>
    <n v="235"/>
    <x v="28"/>
    <d v="2026-01-11T05:46:00"/>
    <n v="2999"/>
    <s v="UPI"/>
    <s v="captured"/>
    <n v="91"/>
    <x v="7"/>
    <n v="0"/>
  </r>
  <r>
    <s v="TXN100395"/>
    <n v="173"/>
    <x v="13"/>
    <d v="2026-01-06T00:47:00"/>
    <n v="499"/>
    <s v="UPI"/>
    <s v="failed"/>
    <n v="72"/>
    <x v="4"/>
    <n v="1"/>
  </r>
  <r>
    <s v="TXN100396"/>
    <n v="313"/>
    <x v="22"/>
    <d v="2026-01-22T06:11:00"/>
    <n v="499"/>
    <s v="UPI"/>
    <s v="captured"/>
    <n v="54"/>
    <x v="13"/>
    <n v="1"/>
  </r>
  <r>
    <s v="TXN100397"/>
    <n v="206"/>
    <x v="23"/>
    <d v="2026-01-17T10:05:00"/>
    <n v="149"/>
    <s v="Wallet"/>
    <s v="captured"/>
    <n v="23"/>
    <x v="18"/>
    <n v="1"/>
  </r>
  <r>
    <s v="TXN100398"/>
    <n v="128"/>
    <x v="37"/>
    <d v="2026-01-05T15:20:00"/>
    <n v="1499"/>
    <s v="Netbanking"/>
    <s v="captured"/>
    <n v="33"/>
    <x v="14"/>
    <n v="1"/>
  </r>
  <r>
    <s v="TXN100399"/>
    <n v="137"/>
    <x v="3"/>
    <d v="2026-01-13T07:28:00"/>
    <n v="799"/>
    <s v="UPI"/>
    <s v="failed"/>
    <n v="38"/>
    <x v="11"/>
    <n v="1"/>
  </r>
  <r>
    <s v="TXN100400"/>
    <n v="6"/>
    <x v="28"/>
    <d v="2026-01-19T23:36:00"/>
    <n v="49"/>
    <s v="UPI"/>
    <s v="captured"/>
    <n v="83"/>
    <x v="23"/>
    <n v="1"/>
  </r>
  <r>
    <s v="TXN100401"/>
    <n v="32"/>
    <x v="30"/>
    <d v="2026-01-12T22:15:00"/>
    <n v="299"/>
    <s v="Card"/>
    <s v="captured"/>
    <n v="59"/>
    <x v="28"/>
    <n v="1"/>
  </r>
  <r>
    <s v="TXN100402"/>
    <n v="258"/>
    <x v="15"/>
    <d v="2026-01-10T05:25:00"/>
    <n v="149"/>
    <s v="UPI"/>
    <s v="captured"/>
    <n v="88"/>
    <x v="27"/>
    <n v="1"/>
  </r>
  <r>
    <s v="TXN100403"/>
    <n v="152"/>
    <x v="31"/>
    <d v="2026-01-04T20:58:00"/>
    <n v="149"/>
    <s v="UPI"/>
    <s v="chargeback"/>
    <n v="78"/>
    <x v="1"/>
    <n v="1"/>
  </r>
  <r>
    <s v="TXN100404"/>
    <n v="245"/>
    <x v="34"/>
    <d v="2026-01-08T07:08:00"/>
    <n v="799"/>
    <s v="Wallet"/>
    <s v="captured"/>
    <n v="58"/>
    <x v="5"/>
    <n v="1"/>
  </r>
  <r>
    <s v="TXN100405"/>
    <n v="213"/>
    <x v="25"/>
    <d v="2026-01-24T19:23:00"/>
    <n v="49"/>
    <s v="Wallet"/>
    <s v="captured"/>
    <n v="60"/>
    <x v="2"/>
    <n v="0"/>
  </r>
  <r>
    <s v="TXN100406"/>
    <n v="341"/>
    <x v="16"/>
    <d v="2026-01-25T17:51:00"/>
    <n v="99"/>
    <s v="Netbanking"/>
    <s v="captured"/>
    <n v="97"/>
    <x v="21"/>
    <n v="0"/>
  </r>
  <r>
    <s v="TXN100407"/>
    <n v="306"/>
    <x v="18"/>
    <d v="2026-01-08T21:48:00"/>
    <n v="149"/>
    <s v="Netbanking"/>
    <s v="captured"/>
    <n v="67"/>
    <x v="5"/>
    <n v="1"/>
  </r>
  <r>
    <s v="TXN100408"/>
    <n v="186"/>
    <x v="32"/>
    <d v="2026-01-15T16:45:00"/>
    <n v="499"/>
    <s v="UPI"/>
    <s v="captured"/>
    <n v="72"/>
    <x v="17"/>
    <n v="0"/>
  </r>
  <r>
    <s v="TXN100409"/>
    <n v="281"/>
    <x v="11"/>
    <d v="2026-01-04T01:53:00"/>
    <n v="4999"/>
    <s v="UPI"/>
    <s v="captured"/>
    <n v="25"/>
    <x v="1"/>
    <n v="1"/>
  </r>
  <r>
    <s v="TXN100410"/>
    <n v="85"/>
    <x v="17"/>
    <d v="2026-01-19T17:09:00"/>
    <n v="99"/>
    <s v="UPI"/>
    <s v="captured"/>
    <n v="66"/>
    <x v="23"/>
    <n v="1"/>
  </r>
  <r>
    <s v="TXN100411"/>
    <n v="106"/>
    <x v="35"/>
    <d v="2026-01-15T03:43:00"/>
    <n v="499"/>
    <s v="UPI"/>
    <s v="captured"/>
    <n v="62"/>
    <x v="17"/>
    <n v="1"/>
  </r>
  <r>
    <s v="TXN100412"/>
    <n v="29"/>
    <x v="24"/>
    <d v="2026-01-03T16:28:00"/>
    <n v="149"/>
    <s v="Netbanking"/>
    <s v="captured"/>
    <n v="16"/>
    <x v="29"/>
    <n v="1"/>
  </r>
  <r>
    <s v="TXN100413"/>
    <n v="289"/>
    <x v="29"/>
    <d v="2026-01-17T13:29:00"/>
    <n v="1499"/>
    <s v="Card"/>
    <s v="captured"/>
    <n v="71"/>
    <x v="18"/>
    <n v="1"/>
  </r>
  <r>
    <s v="TXN100414"/>
    <n v="158"/>
    <x v="27"/>
    <d v="2026-01-15T21:51:00"/>
    <n v="1499"/>
    <s v="Card"/>
    <s v="captured"/>
    <n v="50"/>
    <x v="17"/>
    <n v="1"/>
  </r>
  <r>
    <s v="TXN100415"/>
    <n v="112"/>
    <x v="35"/>
    <d v="2026-01-09T00:47:00"/>
    <n v="49"/>
    <s v="UPI"/>
    <s v="captured"/>
    <n v="9"/>
    <x v="10"/>
    <n v="1"/>
  </r>
  <r>
    <s v="TXN100416"/>
    <n v="33"/>
    <x v="8"/>
    <d v="2026-01-02T13:22:00"/>
    <n v="299"/>
    <s v="Card"/>
    <s v="failed"/>
    <n v="7"/>
    <x v="22"/>
    <n v="1"/>
  </r>
  <r>
    <s v="TXN100417"/>
    <n v="242"/>
    <x v="4"/>
    <d v="2026-01-30T02:59:00"/>
    <n v="49"/>
    <s v="UPI"/>
    <s v="captured"/>
    <n v="36"/>
    <x v="3"/>
    <n v="1"/>
  </r>
  <r>
    <s v="TXN100418"/>
    <n v="70"/>
    <x v="1"/>
    <d v="2026-01-14T05:49:00"/>
    <n v="149"/>
    <s v="UPI"/>
    <s v="captured"/>
    <n v="47"/>
    <x v="12"/>
    <n v="1"/>
  </r>
  <r>
    <s v="TXN100419"/>
    <n v="194"/>
    <x v="14"/>
    <d v="2026-01-29T12:28:00"/>
    <n v="49"/>
    <s v="Wallet"/>
    <s v="captured"/>
    <n v="10"/>
    <x v="0"/>
    <n v="1"/>
  </r>
  <r>
    <s v="TXN100420"/>
    <n v="277"/>
    <x v="39"/>
    <d v="2026-01-22T21:55:00"/>
    <n v="799"/>
    <s v="UPI"/>
    <s v="captured"/>
    <n v="83"/>
    <x v="13"/>
    <n v="0"/>
  </r>
  <r>
    <s v="TXN100421"/>
    <n v="92"/>
    <x v="8"/>
    <d v="2026-01-28T11:07:00"/>
    <n v="49"/>
    <s v="UPI"/>
    <s v="captured"/>
    <n v="50"/>
    <x v="19"/>
    <n v="1"/>
  </r>
  <r>
    <s v="TXN100422"/>
    <n v="115"/>
    <x v="37"/>
    <d v="2026-01-17T04:46:00"/>
    <n v="149"/>
    <s v="Wallet"/>
    <s v="captured"/>
    <n v="96"/>
    <x v="18"/>
    <n v="1"/>
  </r>
  <r>
    <s v="TXN100423"/>
    <n v="345"/>
    <x v="8"/>
    <d v="2026-01-01T09:29:00"/>
    <n v="499"/>
    <s v="Card"/>
    <s v="captured"/>
    <n v="54"/>
    <x v="9"/>
    <n v="1"/>
  </r>
  <r>
    <s v="TXN100424"/>
    <n v="118"/>
    <x v="0"/>
    <d v="2026-01-18T12:52:00"/>
    <n v="49"/>
    <s v="UPI"/>
    <s v="captured"/>
    <n v="58"/>
    <x v="15"/>
    <n v="1"/>
  </r>
  <r>
    <s v="TXN100425"/>
    <n v="97"/>
    <x v="30"/>
    <d v="2026-01-12T04:17:00"/>
    <n v="99"/>
    <s v="Netbanking"/>
    <s v="captured"/>
    <n v="4"/>
    <x v="28"/>
    <n v="0"/>
  </r>
  <r>
    <s v="TXN100426"/>
    <n v="315"/>
    <x v="27"/>
    <d v="2026-01-26T21:26:00"/>
    <n v="299"/>
    <s v="Wallet"/>
    <s v="captured"/>
    <n v="30"/>
    <x v="16"/>
    <n v="1"/>
  </r>
  <r>
    <s v="TXN100427"/>
    <n v="305"/>
    <x v="4"/>
    <d v="2026-01-07T02:06:00"/>
    <n v="299"/>
    <s v="UPI"/>
    <s v="captured"/>
    <n v="57"/>
    <x v="25"/>
    <n v="0"/>
  </r>
  <r>
    <s v="TXN100428"/>
    <n v="25"/>
    <x v="0"/>
    <d v="2026-01-20T21:45:00"/>
    <n v="299"/>
    <s v="UPI"/>
    <s v="captured"/>
    <n v="94"/>
    <x v="26"/>
    <n v="1"/>
  </r>
  <r>
    <s v="TXN100429"/>
    <n v="120"/>
    <x v="8"/>
    <d v="2026-01-02T12:28:00"/>
    <n v="49"/>
    <s v="UPI"/>
    <s v="captured"/>
    <n v="27"/>
    <x v="22"/>
    <n v="0"/>
  </r>
  <r>
    <s v="TXN100430"/>
    <n v="258"/>
    <x v="13"/>
    <d v="2026-01-25T01:08:00"/>
    <n v="49"/>
    <s v="Wallet"/>
    <s v="captured"/>
    <n v="29"/>
    <x v="21"/>
    <n v="1"/>
  </r>
  <r>
    <s v="TXN100431"/>
    <n v="164"/>
    <x v="21"/>
    <d v="2026-01-27T23:36:00"/>
    <n v="799"/>
    <s v="UPI"/>
    <s v="captured"/>
    <n v="76"/>
    <x v="6"/>
    <n v="1"/>
  </r>
  <r>
    <s v="TXN100432"/>
    <n v="165"/>
    <x v="0"/>
    <d v="2026-01-25T21:52:00"/>
    <n v="49"/>
    <s v="Wallet"/>
    <s v="captured"/>
    <n v="38"/>
    <x v="21"/>
    <n v="0"/>
  </r>
  <r>
    <s v="TXN100433"/>
    <n v="267"/>
    <x v="19"/>
    <d v="2026-01-29T04:42:00"/>
    <n v="49"/>
    <s v="Netbanking"/>
    <s v="captured"/>
    <n v="52"/>
    <x v="0"/>
    <n v="1"/>
  </r>
  <r>
    <s v="TXN100434"/>
    <n v="286"/>
    <x v="35"/>
    <d v="2026-01-10T08:03:00"/>
    <n v="299"/>
    <s v="Wallet"/>
    <s v="captured"/>
    <n v="94"/>
    <x v="27"/>
    <n v="0"/>
  </r>
  <r>
    <s v="TXN100435"/>
    <n v="348"/>
    <x v="10"/>
    <d v="2026-01-30T05:40:00"/>
    <n v="499"/>
    <s v="Card"/>
    <s v="captured"/>
    <n v="71"/>
    <x v="3"/>
    <n v="1"/>
  </r>
  <r>
    <s v="TXN100436"/>
    <n v="330"/>
    <x v="14"/>
    <d v="2026-01-16T01:22:00"/>
    <n v="799"/>
    <s v="UPI"/>
    <s v="captured"/>
    <n v="100"/>
    <x v="24"/>
    <n v="1"/>
  </r>
  <r>
    <s v="TXN100437"/>
    <n v="214"/>
    <x v="1"/>
    <d v="2026-01-17T10:44:00"/>
    <n v="299"/>
    <s v="Card"/>
    <s v="captured"/>
    <n v="19"/>
    <x v="18"/>
    <n v="0"/>
  </r>
  <r>
    <s v="TXN100438"/>
    <n v="276"/>
    <x v="20"/>
    <d v="2026-01-10T12:11:00"/>
    <n v="499"/>
    <s v="UPI"/>
    <s v="captured"/>
    <n v="30"/>
    <x v="27"/>
    <n v="1"/>
  </r>
  <r>
    <s v="TXN100439"/>
    <n v="74"/>
    <x v="24"/>
    <d v="2026-01-28T07:19:00"/>
    <n v="49"/>
    <s v="UPI"/>
    <s v="captured"/>
    <n v="7"/>
    <x v="19"/>
    <n v="1"/>
  </r>
  <r>
    <s v="TXN100440"/>
    <n v="286"/>
    <x v="36"/>
    <d v="2026-01-18T13:26:00"/>
    <n v="49"/>
    <s v="Card"/>
    <s v="captured"/>
    <n v="17"/>
    <x v="15"/>
    <n v="0"/>
  </r>
  <r>
    <s v="TXN100441"/>
    <n v="105"/>
    <x v="3"/>
    <d v="2026-01-13T07:16:00"/>
    <n v="4999"/>
    <s v="UPI"/>
    <s v="captured"/>
    <n v="82"/>
    <x v="11"/>
    <n v="0"/>
  </r>
  <r>
    <s v="TXN100442"/>
    <n v="190"/>
    <x v="18"/>
    <d v="2026-01-03T14:54:00"/>
    <n v="799"/>
    <s v="Wallet"/>
    <s v="captured"/>
    <n v="68"/>
    <x v="29"/>
    <n v="1"/>
  </r>
  <r>
    <s v="TXN100443"/>
    <n v="138"/>
    <x v="14"/>
    <d v="2026-01-24T06:03:00"/>
    <n v="299"/>
    <s v="Wallet"/>
    <s v="captured"/>
    <n v="86"/>
    <x v="2"/>
    <n v="0"/>
  </r>
  <r>
    <s v="TXN100444"/>
    <n v="38"/>
    <x v="6"/>
    <d v="2026-01-20T19:02:00"/>
    <n v="4999"/>
    <s v="Netbanking"/>
    <s v="captured"/>
    <n v="97"/>
    <x v="26"/>
    <n v="1"/>
  </r>
  <r>
    <s v="TXN100445"/>
    <n v="287"/>
    <x v="16"/>
    <d v="2026-01-19T23:42:00"/>
    <n v="99"/>
    <s v="Wallet"/>
    <s v="captured"/>
    <n v="61"/>
    <x v="23"/>
    <n v="1"/>
  </r>
  <r>
    <s v="TXN100446"/>
    <n v="8"/>
    <x v="16"/>
    <d v="2026-01-07T10:19:00"/>
    <n v="49"/>
    <s v="UPI"/>
    <s v="captured"/>
    <n v="24"/>
    <x v="25"/>
    <n v="1"/>
  </r>
  <r>
    <s v="TXN100447"/>
    <n v="246"/>
    <x v="0"/>
    <d v="2026-01-24T03:47:00"/>
    <n v="1499"/>
    <s v="Wallet"/>
    <s v="captured"/>
    <n v="89"/>
    <x v="2"/>
    <n v="0"/>
  </r>
  <r>
    <s v="TXN100448"/>
    <n v="204"/>
    <x v="0"/>
    <d v="2026-01-20T22:13:00"/>
    <n v="149"/>
    <s v="UPI"/>
    <s v="captured"/>
    <n v="70"/>
    <x v="26"/>
    <n v="0"/>
  </r>
  <r>
    <s v="TXN100449"/>
    <n v="239"/>
    <x v="8"/>
    <d v="2026-01-11T09:24:00"/>
    <n v="4999"/>
    <s v="UPI"/>
    <s v="captured"/>
    <n v="83"/>
    <x v="7"/>
    <n v="1"/>
  </r>
  <r>
    <s v="TXN100450"/>
    <n v="185"/>
    <x v="11"/>
    <d v="2026-01-12T09:16:00"/>
    <n v="299"/>
    <s v="UPI"/>
    <s v="captured"/>
    <n v="63"/>
    <x v="28"/>
    <n v="1"/>
  </r>
  <r>
    <s v="TXN100451"/>
    <n v="241"/>
    <x v="17"/>
    <d v="2026-01-15T03:51:00"/>
    <n v="299"/>
    <s v="Card"/>
    <s v="captured"/>
    <n v="26"/>
    <x v="17"/>
    <n v="1"/>
  </r>
  <r>
    <s v="TXN100452"/>
    <n v="24"/>
    <x v="21"/>
    <d v="2026-01-12T10:26:00"/>
    <n v="149"/>
    <s v="UPI"/>
    <s v="captured"/>
    <n v="28"/>
    <x v="28"/>
    <n v="1"/>
  </r>
  <r>
    <s v="TXN100453"/>
    <n v="134"/>
    <x v="25"/>
    <d v="2026-01-24T04:01:00"/>
    <n v="1499"/>
    <s v="UPI"/>
    <s v="captured"/>
    <n v="74"/>
    <x v="2"/>
    <n v="0"/>
  </r>
  <r>
    <s v="TXN100454"/>
    <n v="152"/>
    <x v="34"/>
    <d v="2026-01-19T23:26:00"/>
    <n v="499"/>
    <s v="Wallet"/>
    <s v="captured"/>
    <n v="25"/>
    <x v="23"/>
    <n v="1"/>
  </r>
  <r>
    <s v="TXN100455"/>
    <n v="292"/>
    <x v="0"/>
    <d v="2026-01-11T07:24:00"/>
    <n v="499"/>
    <s v="Netbanking"/>
    <s v="captured"/>
    <n v="63"/>
    <x v="7"/>
    <n v="1"/>
  </r>
  <r>
    <s v="TXN100456"/>
    <n v="173"/>
    <x v="28"/>
    <d v="2026-01-18T20:43:00"/>
    <n v="99"/>
    <s v="Netbanking"/>
    <s v="captured"/>
    <n v="97"/>
    <x v="15"/>
    <n v="0"/>
  </r>
  <r>
    <s v="TXN100457"/>
    <n v="329"/>
    <x v="33"/>
    <d v="2026-01-27T15:46:00"/>
    <n v="1499"/>
    <s v="UPI"/>
    <s v="captured"/>
    <n v="58"/>
    <x v="6"/>
    <n v="1"/>
  </r>
  <r>
    <s v="TXN100458"/>
    <n v="181"/>
    <x v="2"/>
    <d v="2026-01-06T23:50:00"/>
    <n v="1499"/>
    <s v="UPI"/>
    <s v="captured"/>
    <n v="17"/>
    <x v="4"/>
    <n v="1"/>
  </r>
  <r>
    <s v="TXN100459"/>
    <n v="95"/>
    <x v="8"/>
    <d v="2026-01-24T17:31:00"/>
    <n v="149"/>
    <s v="Wallet"/>
    <s v="captured"/>
    <n v="82"/>
    <x v="2"/>
    <n v="1"/>
  </r>
  <r>
    <s v="TXN100460"/>
    <n v="39"/>
    <x v="29"/>
    <d v="2026-01-02T16:02:00"/>
    <n v="149"/>
    <s v="Netbanking"/>
    <s v="captured"/>
    <n v="97"/>
    <x v="22"/>
    <n v="1"/>
  </r>
  <r>
    <s v="TXN100461"/>
    <n v="323"/>
    <x v="19"/>
    <d v="2026-01-01T13:08:00"/>
    <n v="499"/>
    <s v="UPI"/>
    <s v="captured"/>
    <n v="8"/>
    <x v="9"/>
    <n v="1"/>
  </r>
  <r>
    <s v="TXN100462"/>
    <n v="112"/>
    <x v="11"/>
    <d v="2026-01-23T04:00:00"/>
    <n v="49"/>
    <s v="Netbanking"/>
    <s v="captured"/>
    <n v="58"/>
    <x v="20"/>
    <n v="1"/>
  </r>
  <r>
    <s v="TXN100463"/>
    <n v="327"/>
    <x v="12"/>
    <d v="2026-01-12T01:39:00"/>
    <n v="99"/>
    <s v="UPI"/>
    <s v="captured"/>
    <n v="61"/>
    <x v="28"/>
    <n v="1"/>
  </r>
  <r>
    <s v="TXN100464"/>
    <n v="4"/>
    <x v="8"/>
    <d v="2026-01-22T15:01:00"/>
    <n v="299"/>
    <s v="UPI"/>
    <s v="captured"/>
    <n v="70"/>
    <x v="13"/>
    <n v="1"/>
  </r>
  <r>
    <s v="TXN100465"/>
    <n v="272"/>
    <x v="7"/>
    <d v="2026-01-14T00:01:00"/>
    <n v="149"/>
    <s v="UPI"/>
    <s v="captured"/>
    <n v="68"/>
    <x v="12"/>
    <n v="1"/>
  </r>
  <r>
    <s v="TXN100466"/>
    <n v="346"/>
    <x v="10"/>
    <d v="2026-01-10T00:32:00"/>
    <n v="499"/>
    <s v="UPI"/>
    <s v="captured"/>
    <n v="22"/>
    <x v="27"/>
    <n v="1"/>
  </r>
  <r>
    <s v="TXN100467"/>
    <n v="77"/>
    <x v="0"/>
    <d v="2026-01-04T03:33:00"/>
    <n v="49"/>
    <s v="Wallet"/>
    <s v="captured"/>
    <n v="24"/>
    <x v="1"/>
    <n v="1"/>
  </r>
  <r>
    <s v="TXN100468"/>
    <n v="182"/>
    <x v="7"/>
    <d v="2026-01-20T16:16:00"/>
    <n v="149"/>
    <s v="Card"/>
    <s v="captured"/>
    <n v="50"/>
    <x v="26"/>
    <n v="1"/>
  </r>
  <r>
    <s v="TXN100469"/>
    <n v="236"/>
    <x v="21"/>
    <d v="2026-01-03T11:25:00"/>
    <n v="299"/>
    <s v="Card"/>
    <s v="captured"/>
    <n v="31"/>
    <x v="29"/>
    <n v="1"/>
  </r>
  <r>
    <s v="TXN100470"/>
    <n v="42"/>
    <x v="4"/>
    <d v="2026-01-23T07:19:00"/>
    <n v="49"/>
    <s v="UPI"/>
    <s v="captured"/>
    <n v="11"/>
    <x v="20"/>
    <n v="1"/>
  </r>
  <r>
    <s v="TXN100471"/>
    <n v="283"/>
    <x v="20"/>
    <d v="2026-01-13T12:24:00"/>
    <n v="299"/>
    <s v="Netbanking"/>
    <s v="captured"/>
    <n v="7"/>
    <x v="11"/>
    <n v="1"/>
  </r>
  <r>
    <s v="TXN100472"/>
    <n v="88"/>
    <x v="18"/>
    <d v="2026-01-21T00:44:00"/>
    <n v="49"/>
    <s v="UPI"/>
    <s v="captured"/>
    <n v="63"/>
    <x v="8"/>
    <n v="1"/>
  </r>
  <r>
    <s v="TXN100473"/>
    <n v="170"/>
    <x v="21"/>
    <d v="2026-01-28T13:41:00"/>
    <n v="99"/>
    <s v="UPI"/>
    <s v="failed"/>
    <n v="12"/>
    <x v="19"/>
    <n v="0"/>
  </r>
  <r>
    <s v="TXN100474"/>
    <n v="22"/>
    <x v="19"/>
    <d v="2026-01-29T16:58:00"/>
    <n v="49"/>
    <s v="Netbanking"/>
    <s v="captured"/>
    <n v="27"/>
    <x v="0"/>
    <n v="0"/>
  </r>
  <r>
    <s v="TXN100475"/>
    <n v="291"/>
    <x v="20"/>
    <d v="2026-01-29T22:56:00"/>
    <n v="49"/>
    <s v="Netbanking"/>
    <s v="failed"/>
    <n v="34"/>
    <x v="0"/>
    <n v="1"/>
  </r>
  <r>
    <s v="TXN100476"/>
    <n v="144"/>
    <x v="8"/>
    <d v="2026-01-02T02:43:00"/>
    <n v="1499"/>
    <s v="UPI"/>
    <s v="captured"/>
    <n v="72"/>
    <x v="22"/>
    <n v="0"/>
  </r>
  <r>
    <s v="TXN100477"/>
    <n v="162"/>
    <x v="27"/>
    <d v="2026-01-22T01:11:00"/>
    <n v="299"/>
    <s v="Wallet"/>
    <s v="captured"/>
    <n v="26"/>
    <x v="13"/>
    <n v="1"/>
  </r>
  <r>
    <s v="TXN100478"/>
    <n v="204"/>
    <x v="32"/>
    <d v="2026-01-19T04:48:00"/>
    <n v="49"/>
    <s v="UPI"/>
    <s v="captured"/>
    <n v="38"/>
    <x v="23"/>
    <n v="1"/>
  </r>
  <r>
    <s v="TXN100479"/>
    <n v="291"/>
    <x v="14"/>
    <d v="2026-01-06T18:15:00"/>
    <n v="99"/>
    <s v="Wallet"/>
    <s v="captured"/>
    <n v="86"/>
    <x v="4"/>
    <n v="0"/>
  </r>
  <r>
    <s v="TXN100480"/>
    <n v="197"/>
    <x v="39"/>
    <d v="2026-01-29T17:21:00"/>
    <n v="49"/>
    <s v="Wallet"/>
    <s v="failed"/>
    <n v="88"/>
    <x v="0"/>
    <n v="1"/>
  </r>
  <r>
    <s v="TXN100481"/>
    <n v="178"/>
    <x v="29"/>
    <d v="2026-01-24T02:32:00"/>
    <n v="1499"/>
    <s v="UPI"/>
    <s v="captured"/>
    <n v="12"/>
    <x v="2"/>
    <n v="1"/>
  </r>
  <r>
    <s v="TXN100482"/>
    <n v="39"/>
    <x v="3"/>
    <d v="2026-01-14T07:53:00"/>
    <n v="799"/>
    <s v="Netbanking"/>
    <s v="captured"/>
    <n v="77"/>
    <x v="12"/>
    <n v="1"/>
  </r>
  <r>
    <s v="TXN100483"/>
    <n v="204"/>
    <x v="17"/>
    <d v="2026-01-25T19:38:00"/>
    <n v="299"/>
    <s v="Wallet"/>
    <s v="captured"/>
    <n v="3"/>
    <x v="21"/>
    <n v="1"/>
  </r>
  <r>
    <s v="TXN100484"/>
    <n v="231"/>
    <x v="33"/>
    <d v="2026-01-21T08:50:00"/>
    <n v="299"/>
    <s v="UPI"/>
    <s v="captured"/>
    <n v="29"/>
    <x v="8"/>
    <n v="0"/>
  </r>
  <r>
    <s v="TXN100485"/>
    <n v="222"/>
    <x v="9"/>
    <d v="2026-01-12T17:24:00"/>
    <n v="499"/>
    <s v="Wallet"/>
    <s v="failed"/>
    <n v="87"/>
    <x v="28"/>
    <n v="0"/>
  </r>
  <r>
    <s v="TXN100486"/>
    <n v="44"/>
    <x v="12"/>
    <d v="2026-01-19T21:24:00"/>
    <n v="499"/>
    <s v="UPI"/>
    <s v="captured"/>
    <n v="37"/>
    <x v="23"/>
    <n v="0"/>
  </r>
  <r>
    <s v="TXN100487"/>
    <n v="38"/>
    <x v="18"/>
    <d v="2026-01-26T07:45:00"/>
    <n v="49"/>
    <s v="Wallet"/>
    <s v="captured"/>
    <n v="34"/>
    <x v="16"/>
    <n v="0"/>
  </r>
  <r>
    <s v="TXN100488"/>
    <n v="325"/>
    <x v="34"/>
    <d v="2026-01-05T12:45:00"/>
    <n v="49"/>
    <s v="Netbanking"/>
    <s v="chargeback"/>
    <n v="94"/>
    <x v="14"/>
    <n v="1"/>
  </r>
  <r>
    <s v="TXN100489"/>
    <n v="55"/>
    <x v="18"/>
    <d v="2026-01-13T10:23:00"/>
    <n v="1499"/>
    <s v="Card"/>
    <s v="captured"/>
    <n v="0"/>
    <x v="11"/>
    <n v="1"/>
  </r>
  <r>
    <s v="TXN100490"/>
    <n v="139"/>
    <x v="23"/>
    <d v="2026-01-10T14:23:00"/>
    <n v="499"/>
    <s v="Card"/>
    <s v="captured"/>
    <n v="16"/>
    <x v="27"/>
    <n v="1"/>
  </r>
  <r>
    <s v="TXN100491"/>
    <n v="230"/>
    <x v="25"/>
    <d v="2026-01-03T05:27:00"/>
    <n v="99"/>
    <s v="Wallet"/>
    <s v="captured"/>
    <n v="71"/>
    <x v="29"/>
    <n v="0"/>
  </r>
  <r>
    <s v="TXN100492"/>
    <n v="14"/>
    <x v="18"/>
    <d v="2026-01-17T13:06:00"/>
    <n v="799"/>
    <s v="Card"/>
    <s v="captured"/>
    <n v="45"/>
    <x v="18"/>
    <n v="1"/>
  </r>
  <r>
    <s v="TXN100493"/>
    <n v="307"/>
    <x v="17"/>
    <d v="2026-01-18T02:38:00"/>
    <n v="799"/>
    <s v="UPI"/>
    <s v="captured"/>
    <n v="49"/>
    <x v="15"/>
    <n v="1"/>
  </r>
  <r>
    <s v="TXN100494"/>
    <n v="199"/>
    <x v="18"/>
    <d v="2026-01-01T09:26:00"/>
    <n v="49"/>
    <s v="UPI"/>
    <s v="captured"/>
    <n v="92"/>
    <x v="9"/>
    <n v="1"/>
  </r>
  <r>
    <s v="TXN100495"/>
    <n v="125"/>
    <x v="21"/>
    <d v="2026-01-29T17:57:00"/>
    <n v="149"/>
    <s v="Wallet"/>
    <s v="captured"/>
    <n v="66"/>
    <x v="0"/>
    <n v="1"/>
  </r>
  <r>
    <s v="TXN100496"/>
    <n v="87"/>
    <x v="39"/>
    <d v="2026-01-06T21:24:00"/>
    <n v="149"/>
    <s v="UPI"/>
    <s v="captured"/>
    <n v="34"/>
    <x v="4"/>
    <n v="1"/>
  </r>
  <r>
    <s v="TXN100497"/>
    <n v="75"/>
    <x v="32"/>
    <d v="2026-01-10T08:31:00"/>
    <n v="99"/>
    <s v="UPI"/>
    <s v="captured"/>
    <n v="21"/>
    <x v="27"/>
    <n v="1"/>
  </r>
  <r>
    <s v="TXN100498"/>
    <n v="154"/>
    <x v="20"/>
    <d v="2026-01-14T08:26:00"/>
    <n v="499"/>
    <s v="Wallet"/>
    <s v="captured"/>
    <n v="100"/>
    <x v="12"/>
    <n v="1"/>
  </r>
  <r>
    <s v="TXN100499"/>
    <n v="127"/>
    <x v="33"/>
    <d v="2026-01-03T11:16:00"/>
    <n v="149"/>
    <s v="Card"/>
    <s v="captured"/>
    <n v="76"/>
    <x v="29"/>
    <n v="1"/>
  </r>
  <r>
    <s v="TXN200000"/>
    <n v="351"/>
    <x v="23"/>
    <d v="2026-01-30T06:00:00"/>
    <n v="1999"/>
    <s v="Card"/>
    <s v="chargeback"/>
    <n v="79"/>
    <x v="3"/>
    <n v="1"/>
  </r>
  <r>
    <s v="TXN200001"/>
    <n v="352"/>
    <x v="12"/>
    <d v="2026-01-11T12:00:00"/>
    <n v="4999"/>
    <s v="Card"/>
    <s v="chargeback"/>
    <n v="95"/>
    <x v="7"/>
    <n v="1"/>
  </r>
  <r>
    <s v="TXN200002"/>
    <n v="353"/>
    <x v="10"/>
    <d v="2026-01-21T14:00:00"/>
    <n v="1999"/>
    <s v="Card"/>
    <s v="chargeback"/>
    <n v="79"/>
    <x v="8"/>
    <n v="1"/>
  </r>
  <r>
    <s v="TXN200003"/>
    <n v="354"/>
    <x v="6"/>
    <d v="2026-01-21T19:00:00"/>
    <n v="4999"/>
    <s v="Card"/>
    <s v="chargeback"/>
    <n v="80"/>
    <x v="8"/>
    <n v="1"/>
  </r>
  <r>
    <s v="TXN200004"/>
    <n v="355"/>
    <x v="13"/>
    <d v="2026-01-16T12:00:00"/>
    <n v="4999"/>
    <s v="Card"/>
    <s v="chargeback"/>
    <n v="100"/>
    <x v="24"/>
    <n v="1"/>
  </r>
  <r>
    <s v="TXN200005"/>
    <n v="356"/>
    <x v="14"/>
    <d v="2026-01-29T07:00:00"/>
    <n v="2999"/>
    <s v="Card"/>
    <s v="chargeback"/>
    <n v="96"/>
    <x v="0"/>
    <n v="0"/>
  </r>
  <r>
    <s v="TXN200006"/>
    <n v="357"/>
    <x v="21"/>
    <d v="2026-01-23T11:00:00"/>
    <n v="1999"/>
    <s v="Card"/>
    <s v="chargeback"/>
    <n v="88"/>
    <x v="20"/>
    <n v="1"/>
  </r>
  <r>
    <s v="TXN200007"/>
    <n v="358"/>
    <x v="25"/>
    <d v="2026-01-28T05:00:00"/>
    <n v="999"/>
    <s v="Card"/>
    <s v="chargeback"/>
    <n v="100"/>
    <x v="19"/>
    <n v="1"/>
  </r>
  <r>
    <s v="TXN200008"/>
    <n v="359"/>
    <x v="26"/>
    <d v="2026-01-25T22:00:00"/>
    <n v="2999"/>
    <s v="Card"/>
    <s v="chargeback"/>
    <n v="96"/>
    <x v="21"/>
    <n v="0"/>
  </r>
  <r>
    <s v="TXN200009"/>
    <n v="360"/>
    <x v="33"/>
    <d v="2026-01-13T13:00:00"/>
    <n v="1999"/>
    <s v="Card"/>
    <s v="chargeback"/>
    <n v="90"/>
    <x v="11"/>
    <n v="1"/>
  </r>
  <r>
    <s v="TXN200010"/>
    <n v="361"/>
    <x v="34"/>
    <d v="2026-01-20T07:00:00"/>
    <n v="4999"/>
    <s v="Card"/>
    <s v="chargeback"/>
    <n v="95"/>
    <x v="26"/>
    <n v="1"/>
  </r>
  <r>
    <s v="TXN200011"/>
    <n v="362"/>
    <x v="38"/>
    <d v="2026-01-23T02:00:00"/>
    <n v="4999"/>
    <s v="Card"/>
    <s v="chargeback"/>
    <n v="88"/>
    <x v="20"/>
    <n v="1"/>
  </r>
  <r>
    <s v="TXN200012"/>
    <n v="363"/>
    <x v="1"/>
    <d v="2026-01-23T17:00:00"/>
    <n v="999"/>
    <s v="Card"/>
    <s v="chargeback"/>
    <n v="95"/>
    <x v="20"/>
    <n v="0"/>
  </r>
  <r>
    <s v="TXN200013"/>
    <n v="364"/>
    <x v="38"/>
    <d v="2026-01-22T22:00:00"/>
    <n v="999"/>
    <s v="Card"/>
    <s v="chargeback"/>
    <n v="73"/>
    <x v="13"/>
    <n v="0"/>
  </r>
  <r>
    <s v="TXN200014"/>
    <n v="365"/>
    <x v="5"/>
    <d v="2026-01-18T21:00:00"/>
    <n v="1999"/>
    <s v="Card"/>
    <s v="chargeback"/>
    <n v="90"/>
    <x v="15"/>
    <n v="1"/>
  </r>
  <r>
    <s v="TXN300000"/>
    <n v="314"/>
    <x v="22"/>
    <d v="2026-01-02T18:00:00"/>
    <n v="399"/>
    <s v="Card"/>
    <s v="failed"/>
    <n v="87"/>
    <x v="22"/>
    <n v="1"/>
  </r>
  <r>
    <s v="TXN300001"/>
    <n v="314"/>
    <x v="23"/>
    <d v="2026-01-02T18:01:00"/>
    <n v="299"/>
    <s v="Card"/>
    <s v="failed"/>
    <n v="66"/>
    <x v="22"/>
    <n v="0"/>
  </r>
  <r>
    <s v="TXN300002"/>
    <n v="314"/>
    <x v="28"/>
    <d v="2026-01-02T18:02:00"/>
    <n v="299"/>
    <s v="Card"/>
    <s v="failed"/>
    <n v="92"/>
    <x v="22"/>
    <n v="1"/>
  </r>
  <r>
    <s v="TXN300003"/>
    <n v="314"/>
    <x v="36"/>
    <d v="2026-01-02T18:03:00"/>
    <n v="499"/>
    <s v="Card"/>
    <s v="captured"/>
    <n v="74"/>
    <x v="22"/>
    <n v="0"/>
  </r>
  <r>
    <s v="TXN300004"/>
    <n v="229"/>
    <x v="24"/>
    <d v="2026-01-12T12:00:00"/>
    <n v="499"/>
    <s v="Card"/>
    <s v="failed"/>
    <n v="92"/>
    <x v="28"/>
    <n v="1"/>
  </r>
  <r>
    <s v="TXN300005"/>
    <n v="229"/>
    <x v="34"/>
    <d v="2026-01-12T12:01:00"/>
    <n v="399"/>
    <s v="Card"/>
    <s v="failed"/>
    <n v="61"/>
    <x v="28"/>
    <n v="1"/>
  </r>
  <r>
    <s v="TXN300006"/>
    <n v="229"/>
    <x v="20"/>
    <d v="2026-01-12T12:02:00"/>
    <n v="299"/>
    <s v="Card"/>
    <s v="failed"/>
    <n v="78"/>
    <x v="28"/>
    <n v="1"/>
  </r>
  <r>
    <s v="TXN300007"/>
    <n v="229"/>
    <x v="1"/>
    <d v="2026-01-12T12:03:00"/>
    <n v="299"/>
    <s v="Card"/>
    <s v="captured"/>
    <n v="67"/>
    <x v="28"/>
    <n v="1"/>
  </r>
  <r>
    <s v="TXN300008"/>
    <n v="73"/>
    <x v="3"/>
    <d v="2026-01-12T09:00:00"/>
    <n v="399"/>
    <s v="Card"/>
    <s v="failed"/>
    <n v="73"/>
    <x v="28"/>
    <n v="0"/>
  </r>
  <r>
    <s v="TXN300009"/>
    <n v="73"/>
    <x v="36"/>
    <d v="2026-01-12T09:01:00"/>
    <n v="399"/>
    <s v="Card"/>
    <s v="failed"/>
    <n v="82"/>
    <x v="28"/>
    <n v="1"/>
  </r>
  <r>
    <s v="TXN300010"/>
    <n v="73"/>
    <x v="20"/>
    <d v="2026-01-12T09:02:00"/>
    <n v="299"/>
    <s v="Card"/>
    <s v="failed"/>
    <n v="88"/>
    <x v="28"/>
    <n v="0"/>
  </r>
  <r>
    <s v="TXN300011"/>
    <n v="73"/>
    <x v="26"/>
    <d v="2026-01-12T09:03:00"/>
    <n v="399"/>
    <s v="Card"/>
    <s v="captured"/>
    <n v="64"/>
    <x v="28"/>
    <n v="1"/>
  </r>
  <r>
    <s v="TXN300012"/>
    <n v="154"/>
    <x v="30"/>
    <d v="2026-01-02T22:00:00"/>
    <n v="299"/>
    <s v="Card"/>
    <s v="failed"/>
    <n v="81"/>
    <x v="22"/>
    <n v="1"/>
  </r>
  <r>
    <s v="TXN300013"/>
    <n v="154"/>
    <x v="23"/>
    <d v="2026-01-02T22:01:00"/>
    <n v="499"/>
    <s v="Card"/>
    <s v="failed"/>
    <n v="70"/>
    <x v="22"/>
    <n v="0"/>
  </r>
  <r>
    <s v="TXN300014"/>
    <n v="154"/>
    <x v="0"/>
    <d v="2026-01-02T22:02:00"/>
    <n v="499"/>
    <s v="Card"/>
    <s v="failed"/>
    <n v="71"/>
    <x v="22"/>
    <n v="1"/>
  </r>
  <r>
    <s v="TXN300015"/>
    <n v="154"/>
    <x v="25"/>
    <d v="2026-01-02T22:03:00"/>
    <n v="299"/>
    <s v="Card"/>
    <s v="captured"/>
    <n v="81"/>
    <x v="22"/>
    <n v="1"/>
  </r>
  <r>
    <s v="TXN300016"/>
    <n v="287"/>
    <x v="19"/>
    <d v="2026-01-14T14:00:00"/>
    <n v="399"/>
    <s v="Card"/>
    <s v="failed"/>
    <n v="71"/>
    <x v="12"/>
    <n v="1"/>
  </r>
  <r>
    <s v="TXN300017"/>
    <n v="287"/>
    <x v="9"/>
    <d v="2026-01-14T14:01:00"/>
    <n v="499"/>
    <s v="Card"/>
    <s v="failed"/>
    <n v="87"/>
    <x v="12"/>
    <n v="0"/>
  </r>
  <r>
    <s v="TXN300018"/>
    <n v="287"/>
    <x v="22"/>
    <d v="2026-01-14T14:02:00"/>
    <n v="299"/>
    <s v="Card"/>
    <s v="failed"/>
    <n v="72"/>
    <x v="12"/>
    <n v="1"/>
  </r>
  <r>
    <s v="TXN300019"/>
    <n v="287"/>
    <x v="26"/>
    <d v="2026-01-14T14:03:00"/>
    <n v="499"/>
    <s v="Card"/>
    <s v="captured"/>
    <n v="87"/>
    <x v="12"/>
    <n v="0"/>
  </r>
  <r>
    <s v="TXN300020"/>
    <n v="200"/>
    <x v="16"/>
    <d v="2026-01-01T22:00:00"/>
    <n v="299"/>
    <s v="Card"/>
    <s v="failed"/>
    <n v="77"/>
    <x v="9"/>
    <n v="1"/>
  </r>
  <r>
    <s v="TXN300021"/>
    <n v="200"/>
    <x v="32"/>
    <d v="2026-01-01T22:01:00"/>
    <n v="499"/>
    <s v="Card"/>
    <s v="failed"/>
    <n v="66"/>
    <x v="9"/>
    <n v="1"/>
  </r>
  <r>
    <s v="TXN300022"/>
    <n v="200"/>
    <x v="8"/>
    <d v="2026-01-01T22:02:00"/>
    <n v="299"/>
    <s v="Card"/>
    <s v="failed"/>
    <n v="83"/>
    <x v="9"/>
    <n v="0"/>
  </r>
  <r>
    <s v="TXN300023"/>
    <n v="200"/>
    <x v="17"/>
    <d v="2026-01-01T22:03:00"/>
    <n v="299"/>
    <s v="Card"/>
    <s v="captured"/>
    <n v="89"/>
    <x v="9"/>
    <n v="0"/>
  </r>
  <r>
    <s v="TXN300024"/>
    <n v="59"/>
    <x v="33"/>
    <d v="2026-01-09T21:00:00"/>
    <n v="499"/>
    <s v="Card"/>
    <s v="failed"/>
    <n v="80"/>
    <x v="10"/>
    <n v="1"/>
  </r>
  <r>
    <s v="TXN300025"/>
    <n v="59"/>
    <x v="38"/>
    <d v="2026-01-09T21:01:00"/>
    <n v="399"/>
    <s v="Card"/>
    <s v="failed"/>
    <n v="85"/>
    <x v="10"/>
    <n v="1"/>
  </r>
  <r>
    <s v="TXN300026"/>
    <n v="59"/>
    <x v="35"/>
    <d v="2026-01-09T21:02:00"/>
    <n v="299"/>
    <s v="Card"/>
    <s v="failed"/>
    <n v="82"/>
    <x v="10"/>
    <n v="0"/>
  </r>
  <r>
    <s v="TXN300027"/>
    <n v="59"/>
    <x v="5"/>
    <d v="2026-01-09T21:03:00"/>
    <n v="399"/>
    <s v="Card"/>
    <s v="captured"/>
    <n v="71"/>
    <x v="10"/>
    <n v="1"/>
  </r>
  <r>
    <s v="TXN300028"/>
    <n v="345"/>
    <x v="12"/>
    <d v="2026-01-23T09:00:00"/>
    <n v="499"/>
    <s v="Card"/>
    <s v="failed"/>
    <n v="65"/>
    <x v="20"/>
    <n v="0"/>
  </r>
  <r>
    <s v="TXN300029"/>
    <n v="345"/>
    <x v="39"/>
    <d v="2026-01-23T09:01:00"/>
    <n v="399"/>
    <s v="Card"/>
    <s v="failed"/>
    <n v="67"/>
    <x v="20"/>
    <n v="0"/>
  </r>
  <r>
    <s v="TXN300030"/>
    <n v="345"/>
    <x v="0"/>
    <d v="2026-01-23T09:02:00"/>
    <n v="399"/>
    <s v="Card"/>
    <s v="failed"/>
    <n v="67"/>
    <x v="20"/>
    <n v="1"/>
  </r>
  <r>
    <s v="TXN300031"/>
    <n v="345"/>
    <x v="9"/>
    <d v="2026-01-23T09:03:00"/>
    <n v="399"/>
    <s v="Card"/>
    <s v="captured"/>
    <n v="69"/>
    <x v="2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D7E3-4CEF-45DD-BF4D-0DABE44967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447" firstHeaderRow="0" firstDataRow="1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0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8"/>
  </rowFields>
  <rowItems count="444">
    <i>
      <x/>
      <x v="4"/>
    </i>
    <i r="1">
      <x v="5"/>
    </i>
    <i r="1">
      <x v="8"/>
    </i>
    <i r="1">
      <x v="10"/>
    </i>
    <i r="1">
      <x v="11"/>
    </i>
    <i r="1">
      <x v="16"/>
    </i>
    <i r="1">
      <x v="22"/>
    </i>
    <i>
      <x v="1"/>
      <x v="6"/>
    </i>
    <i r="1">
      <x v="7"/>
    </i>
    <i r="1">
      <x v="11"/>
    </i>
    <i r="1">
      <x v="12"/>
    </i>
    <i r="1">
      <x v="14"/>
    </i>
    <i r="1">
      <x v="18"/>
    </i>
    <i r="1">
      <x v="21"/>
    </i>
    <i r="1">
      <x v="25"/>
    </i>
    <i r="1">
      <x v="29"/>
    </i>
    <i>
      <x v="2"/>
      <x v="2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9"/>
    </i>
    <i r="1">
      <x v="21"/>
    </i>
    <i r="1">
      <x v="22"/>
    </i>
    <i r="1">
      <x v="25"/>
    </i>
    <i r="1">
      <x v="28"/>
    </i>
    <i r="1">
      <x v="29"/>
    </i>
    <i>
      <x v="3"/>
      <x v="1"/>
    </i>
    <i r="1">
      <x v="11"/>
    </i>
    <i r="1">
      <x v="12"/>
    </i>
    <i r="1">
      <x v="15"/>
    </i>
    <i r="1">
      <x v="16"/>
    </i>
    <i r="1">
      <x v="23"/>
    </i>
    <i r="1">
      <x v="24"/>
    </i>
    <i>
      <x v="4"/>
      <x/>
    </i>
    <i r="1">
      <x v="2"/>
    </i>
    <i r="1">
      <x v="8"/>
    </i>
    <i r="1">
      <x v="9"/>
    </i>
    <i r="1">
      <x v="14"/>
    </i>
    <i r="1">
      <x v="16"/>
    </i>
    <i r="1">
      <x v="17"/>
    </i>
    <i r="1">
      <x v="18"/>
    </i>
    <i r="1">
      <x v="29"/>
    </i>
    <i>
      <x v="5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5"/>
    </i>
    <i>
      <x v="6"/>
      <x v="1"/>
    </i>
    <i r="1">
      <x v="2"/>
    </i>
    <i r="1">
      <x v="4"/>
    </i>
    <i r="1">
      <x v="7"/>
    </i>
    <i r="1">
      <x v="9"/>
    </i>
    <i r="1">
      <x v="14"/>
    </i>
    <i r="1">
      <x v="16"/>
    </i>
    <i r="1">
      <x v="20"/>
    </i>
    <i r="1">
      <x v="23"/>
    </i>
    <i r="1">
      <x v="24"/>
    </i>
    <i r="1">
      <x v="29"/>
    </i>
    <i>
      <x v="7"/>
      <x v="1"/>
    </i>
    <i r="1">
      <x v="2"/>
    </i>
    <i r="1">
      <x v="5"/>
    </i>
    <i r="1">
      <x v="7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5"/>
    </i>
    <i r="1">
      <x v="26"/>
    </i>
    <i r="1">
      <x v="29"/>
    </i>
    <i>
      <x v="8"/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8"/>
    </i>
    <i>
      <x v="9"/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8"/>
    </i>
    <i>
      <x v="10"/>
      <x v="3"/>
    </i>
    <i r="1">
      <x v="5"/>
    </i>
    <i r="1">
      <x v="6"/>
    </i>
    <i r="1">
      <x v="10"/>
    </i>
    <i r="1">
      <x v="17"/>
    </i>
    <i r="1">
      <x v="19"/>
    </i>
    <i r="1">
      <x v="20"/>
    </i>
    <i r="1">
      <x v="23"/>
    </i>
    <i r="1">
      <x v="28"/>
    </i>
    <i>
      <x v="11"/>
      <x/>
    </i>
    <i r="1">
      <x v="8"/>
    </i>
    <i r="1">
      <x v="11"/>
    </i>
    <i r="1">
      <x v="13"/>
    </i>
    <i r="1">
      <x v="17"/>
    </i>
    <i r="1">
      <x v="21"/>
    </i>
    <i r="1">
      <x v="22"/>
    </i>
    <i r="1">
      <x v="26"/>
    </i>
    <i r="1">
      <x v="29"/>
    </i>
    <i>
      <x v="12"/>
      <x v="7"/>
    </i>
    <i r="1">
      <x v="8"/>
    </i>
    <i r="1">
      <x v="9"/>
    </i>
    <i r="1">
      <x v="13"/>
    </i>
    <i r="1">
      <x v="14"/>
    </i>
    <i r="1">
      <x v="19"/>
    </i>
    <i r="1">
      <x v="20"/>
    </i>
    <i r="1">
      <x v="23"/>
    </i>
    <i r="1">
      <x v="25"/>
    </i>
    <i r="1">
      <x v="26"/>
    </i>
    <i r="1">
      <x v="27"/>
    </i>
    <i>
      <x v="13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7"/>
    </i>
    <i r="1">
      <x v="18"/>
    </i>
    <i r="1">
      <x v="19"/>
    </i>
    <i r="1">
      <x v="24"/>
    </i>
    <i>
      <x v="14"/>
      <x/>
    </i>
    <i r="1">
      <x v="6"/>
    </i>
    <i r="1">
      <x v="9"/>
    </i>
    <i r="1">
      <x v="12"/>
    </i>
    <i r="1">
      <x v="13"/>
    </i>
    <i r="1">
      <x v="18"/>
    </i>
    <i r="1">
      <x v="23"/>
    </i>
    <i r="1">
      <x v="25"/>
    </i>
    <i r="1">
      <x v="26"/>
    </i>
    <i r="1">
      <x v="28"/>
    </i>
    <i>
      <x v="15"/>
      <x v="1"/>
    </i>
    <i r="1">
      <x v="2"/>
    </i>
    <i r="1">
      <x v="3"/>
    </i>
    <i r="1">
      <x v="4"/>
    </i>
    <i r="1">
      <x v="10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>
      <x v="16"/>
      <x/>
    </i>
    <i r="1">
      <x v="1"/>
    </i>
    <i r="1">
      <x v="2"/>
    </i>
    <i r="1">
      <x v="10"/>
    </i>
    <i r="1">
      <x v="11"/>
    </i>
    <i r="1">
      <x v="16"/>
    </i>
    <i r="1">
      <x v="17"/>
    </i>
    <i r="1">
      <x v="18"/>
    </i>
    <i r="1">
      <x v="27"/>
    </i>
    <i r="1">
      <x v="29"/>
    </i>
    <i>
      <x v="17"/>
      <x v="5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9"/>
    </i>
    <i r="1">
      <x v="24"/>
    </i>
    <i>
      <x v="18"/>
      <x v="1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2"/>
    </i>
    <i r="1">
      <x v="3"/>
    </i>
    <i r="1">
      <x v="9"/>
    </i>
    <i r="1">
      <x v="20"/>
    </i>
    <i r="1">
      <x v="22"/>
    </i>
    <i r="1">
      <x v="23"/>
    </i>
    <i r="1">
      <x v="28"/>
    </i>
    <i>
      <x v="20"/>
      <x/>
    </i>
    <i r="1">
      <x v="4"/>
    </i>
    <i r="1">
      <x v="8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>
      <x v="21"/>
      <x/>
    </i>
    <i r="1">
      <x v="4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22"/>
    </i>
    <i r="1">
      <x v="28"/>
    </i>
    <i>
      <x v="22"/>
      <x v="7"/>
    </i>
    <i r="1">
      <x v="8"/>
    </i>
    <i r="1">
      <x v="11"/>
    </i>
    <i r="1">
      <x v="16"/>
    </i>
    <i r="1">
      <x v="17"/>
    </i>
    <i r="1">
      <x v="21"/>
    </i>
    <i r="1">
      <x v="22"/>
    </i>
    <i r="1">
      <x v="25"/>
    </i>
    <i>
      <x v="23"/>
      <x v="2"/>
    </i>
    <i r="1">
      <x v="3"/>
    </i>
    <i r="1">
      <x v="6"/>
    </i>
    <i r="1">
      <x v="10"/>
    </i>
    <i r="1">
      <x v="11"/>
    </i>
    <i r="1">
      <x v="13"/>
    </i>
    <i r="1">
      <x v="19"/>
    </i>
    <i r="1">
      <x v="20"/>
    </i>
    <i r="1">
      <x v="21"/>
    </i>
    <i r="1">
      <x v="23"/>
    </i>
    <i r="1">
      <x v="25"/>
    </i>
    <i>
      <x v="24"/>
      <x v="1"/>
    </i>
    <i r="1">
      <x v="4"/>
    </i>
    <i r="1">
      <x v="5"/>
    </i>
    <i r="1">
      <x v="10"/>
    </i>
    <i r="1">
      <x v="12"/>
    </i>
    <i r="1">
      <x v="14"/>
    </i>
    <i r="1">
      <x v="15"/>
    </i>
    <i r="1">
      <x v="18"/>
    </i>
    <i r="1">
      <x v="23"/>
    </i>
    <i r="1">
      <x v="27"/>
    </i>
    <i r="1">
      <x v="28"/>
    </i>
    <i>
      <x v="25"/>
      <x v="1"/>
    </i>
    <i r="1">
      <x v="2"/>
    </i>
    <i r="1">
      <x v="5"/>
    </i>
    <i r="1">
      <x v="9"/>
    </i>
    <i r="1">
      <x v="11"/>
    </i>
    <i r="1">
      <x v="13"/>
    </i>
    <i r="1">
      <x v="21"/>
    </i>
    <i r="1">
      <x v="22"/>
    </i>
    <i r="1">
      <x v="27"/>
    </i>
    <i r="1">
      <x v="28"/>
    </i>
    <i r="1">
      <x v="29"/>
    </i>
    <i>
      <x v="26"/>
      <x/>
    </i>
    <i r="1">
      <x v="3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7"/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20"/>
    </i>
    <i r="1">
      <x v="21"/>
    </i>
    <i r="1">
      <x v="29"/>
    </i>
    <i>
      <x v="28"/>
      <x v="3"/>
    </i>
    <i r="1">
      <x v="4"/>
    </i>
    <i r="1">
      <x v="7"/>
    </i>
    <i r="1">
      <x v="8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4"/>
    </i>
    <i r="1">
      <x v="26"/>
    </i>
    <i r="1">
      <x v="27"/>
    </i>
    <i>
      <x v="29"/>
      <x v="2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5"/>
    </i>
    <i r="1">
      <x v="27"/>
    </i>
    <i r="1">
      <x v="28"/>
    </i>
    <i r="1">
      <x v="29"/>
    </i>
    <i>
      <x v="30"/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1"/>
    </i>
    <i r="1">
      <x v="27"/>
    </i>
    <i r="1">
      <x v="28"/>
    </i>
    <i>
      <x v="31"/>
      <x v="2"/>
    </i>
    <i r="1">
      <x v="3"/>
    </i>
    <i r="1">
      <x v="5"/>
    </i>
    <i r="1">
      <x v="8"/>
    </i>
    <i r="1">
      <x v="12"/>
    </i>
    <i r="1">
      <x v="14"/>
    </i>
    <i r="1">
      <x v="17"/>
    </i>
    <i r="1">
      <x v="20"/>
    </i>
    <i r="1">
      <x v="23"/>
    </i>
    <i r="1">
      <x v="24"/>
    </i>
    <i r="1">
      <x v="26"/>
    </i>
    <i r="1">
      <x v="27"/>
    </i>
    <i>
      <x v="32"/>
      <x v="2"/>
    </i>
    <i r="1">
      <x v="3"/>
    </i>
    <i r="1">
      <x v="11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3"/>
      <x v="1"/>
    </i>
    <i r="1">
      <x v="4"/>
    </i>
    <i r="1">
      <x v="8"/>
    </i>
    <i r="1">
      <x v="9"/>
    </i>
    <i r="1">
      <x v="11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>
      <x v="34"/>
      <x/>
    </i>
    <i r="1">
      <x v="1"/>
    </i>
    <i r="1">
      <x v="10"/>
    </i>
    <i r="1">
      <x v="11"/>
    </i>
    <i r="1">
      <x v="12"/>
    </i>
    <i r="1">
      <x v="20"/>
    </i>
    <i r="1">
      <x v="21"/>
    </i>
    <i r="1">
      <x v="23"/>
    </i>
    <i r="1">
      <x v="25"/>
    </i>
    <i r="1">
      <x v="27"/>
    </i>
    <i r="1">
      <x v="29"/>
    </i>
    <i>
      <x v="35"/>
      <x/>
    </i>
    <i r="1">
      <x v="1"/>
    </i>
    <i r="1">
      <x v="2"/>
    </i>
    <i r="1">
      <x v="3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7"/>
    </i>
    <i r="1">
      <x v="28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11"/>
    </i>
    <i r="1">
      <x v="15"/>
    </i>
    <i r="1">
      <x v="16"/>
    </i>
    <i r="1">
      <x v="19"/>
    </i>
    <i r="1">
      <x v="20"/>
    </i>
    <i r="1">
      <x v="22"/>
    </i>
    <i r="1">
      <x v="26"/>
    </i>
    <i r="1">
      <x v="27"/>
    </i>
    <i r="1">
      <x v="28"/>
    </i>
    <i r="1">
      <x v="29"/>
    </i>
    <i>
      <x v="37"/>
      <x v="4"/>
    </i>
    <i r="1">
      <x v="5"/>
    </i>
    <i r="1">
      <x v="8"/>
    </i>
    <i r="1">
      <x v="9"/>
    </i>
    <i r="1">
      <x v="14"/>
    </i>
    <i r="1">
      <x v="21"/>
    </i>
    <i r="1">
      <x v="22"/>
    </i>
    <i r="1">
      <x v="27"/>
    </i>
    <i>
      <x v="38"/>
      <x v="1"/>
    </i>
    <i r="1">
      <x v="4"/>
    </i>
    <i r="1">
      <x v="8"/>
    </i>
    <i r="1">
      <x v="9"/>
    </i>
    <i r="1">
      <x v="15"/>
    </i>
    <i r="1">
      <x v="16"/>
    </i>
    <i r="1">
      <x v="17"/>
    </i>
    <i r="1">
      <x v="21"/>
    </i>
    <i r="1">
      <x v="22"/>
    </i>
    <i r="1">
      <x v="28"/>
    </i>
    <i>
      <x v="39"/>
      <x/>
    </i>
    <i r="1">
      <x v="2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2"/>
    </i>
    <i r="1">
      <x v="28"/>
    </i>
    <i r="1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4" baseField="2" baseItem="0"/>
    <dataField name="Transaction_Count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B783-D87E-4FF3-AC57-B2D173E1E7C4}">
  <dimension ref="A1:D41"/>
  <sheetViews>
    <sheetView topLeftCell="A19" workbookViewId="0">
      <selection activeCell="B29" sqref="B29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6640625" bestFit="1" customWidth="1"/>
    <col min="4" max="4" width="6.109375" bestFit="1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t="s">
        <v>565</v>
      </c>
      <c r="C2" t="s">
        <v>566</v>
      </c>
      <c r="D2" t="s">
        <v>567</v>
      </c>
    </row>
    <row r="3" spans="1:4" x14ac:dyDescent="0.3">
      <c r="A3">
        <v>2</v>
      </c>
      <c r="B3" t="s">
        <v>568</v>
      </c>
      <c r="C3" t="s">
        <v>569</v>
      </c>
      <c r="D3" t="s">
        <v>570</v>
      </c>
    </row>
    <row r="4" spans="1:4" x14ac:dyDescent="0.3">
      <c r="A4">
        <v>3</v>
      </c>
      <c r="B4" t="s">
        <v>571</v>
      </c>
      <c r="C4" t="s">
        <v>569</v>
      </c>
      <c r="D4" t="s">
        <v>572</v>
      </c>
    </row>
    <row r="5" spans="1:4" x14ac:dyDescent="0.3">
      <c r="A5">
        <v>4</v>
      </c>
      <c r="B5" t="s">
        <v>573</v>
      </c>
      <c r="C5" t="s">
        <v>566</v>
      </c>
      <c r="D5" t="s">
        <v>572</v>
      </c>
    </row>
    <row r="6" spans="1:4" x14ac:dyDescent="0.3">
      <c r="A6">
        <v>5</v>
      </c>
      <c r="B6" t="s">
        <v>574</v>
      </c>
      <c r="C6" t="s">
        <v>575</v>
      </c>
      <c r="D6" t="s">
        <v>567</v>
      </c>
    </row>
    <row r="7" spans="1:4" x14ac:dyDescent="0.3">
      <c r="A7">
        <v>6</v>
      </c>
      <c r="B7" t="s">
        <v>576</v>
      </c>
      <c r="C7" t="s">
        <v>577</v>
      </c>
      <c r="D7" t="s">
        <v>567</v>
      </c>
    </row>
    <row r="8" spans="1:4" x14ac:dyDescent="0.3">
      <c r="A8">
        <v>7</v>
      </c>
      <c r="B8" t="s">
        <v>578</v>
      </c>
      <c r="C8" t="s">
        <v>577</v>
      </c>
      <c r="D8" t="s">
        <v>572</v>
      </c>
    </row>
    <row r="9" spans="1:4" x14ac:dyDescent="0.3">
      <c r="A9">
        <v>8</v>
      </c>
      <c r="B9" t="s">
        <v>579</v>
      </c>
      <c r="C9" t="s">
        <v>577</v>
      </c>
      <c r="D9" t="s">
        <v>580</v>
      </c>
    </row>
    <row r="10" spans="1:4" x14ac:dyDescent="0.3">
      <c r="A10">
        <v>9</v>
      </c>
      <c r="B10" t="s">
        <v>581</v>
      </c>
      <c r="C10" t="s">
        <v>566</v>
      </c>
      <c r="D10" t="s">
        <v>580</v>
      </c>
    </row>
    <row r="11" spans="1:4" x14ac:dyDescent="0.3">
      <c r="A11">
        <v>10</v>
      </c>
      <c r="B11" t="s">
        <v>582</v>
      </c>
      <c r="C11" t="s">
        <v>569</v>
      </c>
      <c r="D11" t="s">
        <v>570</v>
      </c>
    </row>
    <row r="12" spans="1:4" x14ac:dyDescent="0.3">
      <c r="A12">
        <v>11</v>
      </c>
      <c r="B12" t="s">
        <v>583</v>
      </c>
      <c r="C12" t="s">
        <v>566</v>
      </c>
      <c r="D12" t="s">
        <v>580</v>
      </c>
    </row>
    <row r="13" spans="1:4" x14ac:dyDescent="0.3">
      <c r="A13">
        <v>12</v>
      </c>
      <c r="B13" t="s">
        <v>584</v>
      </c>
      <c r="C13" t="s">
        <v>566</v>
      </c>
      <c r="D13" t="s">
        <v>572</v>
      </c>
    </row>
    <row r="14" spans="1:4" x14ac:dyDescent="0.3">
      <c r="A14">
        <v>13</v>
      </c>
      <c r="B14" t="s">
        <v>585</v>
      </c>
      <c r="C14" t="s">
        <v>586</v>
      </c>
      <c r="D14" t="s">
        <v>572</v>
      </c>
    </row>
    <row r="15" spans="1:4" x14ac:dyDescent="0.3">
      <c r="A15">
        <v>14</v>
      </c>
      <c r="B15" t="s">
        <v>587</v>
      </c>
      <c r="C15" t="s">
        <v>569</v>
      </c>
      <c r="D15" t="s">
        <v>572</v>
      </c>
    </row>
    <row r="16" spans="1:4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8276-E2EF-4EA1-A2B4-FBFD4E9CBCFD}">
  <dimension ref="A1:J548"/>
  <sheetViews>
    <sheetView topLeftCell="A520" workbookViewId="0">
      <selection activeCell="F1" sqref="F1"/>
    </sheetView>
  </sheetViews>
  <sheetFormatPr defaultRowHeight="14.4" x14ac:dyDescent="0.3"/>
  <cols>
    <col min="1" max="1" width="12.6640625" bestFit="1" customWidth="1"/>
    <col min="2" max="2" width="6.88671875" bestFit="1" customWidth="1"/>
    <col min="3" max="3" width="11.21875" bestFit="1" customWidth="1"/>
    <col min="4" max="4" width="15.44140625" bestFit="1" customWidth="1"/>
    <col min="5" max="5" width="10.44140625" bestFit="1" customWidth="1"/>
    <col min="6" max="6" width="15.5546875" bestFit="1" customWidth="1"/>
    <col min="7" max="7" width="10.21875" bestFit="1" customWidth="1"/>
    <col min="8" max="8" width="9.21875" bestFit="1" customWidth="1"/>
    <col min="9" max="9" width="10.33203125" bestFit="1" customWidth="1"/>
    <col min="10" max="10" width="20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617</v>
      </c>
      <c r="J1" s="3" t="s">
        <v>618</v>
      </c>
    </row>
    <row r="2" spans="1:10" x14ac:dyDescent="0.3">
      <c r="A2" s="3" t="s">
        <v>8</v>
      </c>
      <c r="B2" s="3">
        <v>350</v>
      </c>
      <c r="C2" s="3">
        <v>16</v>
      </c>
      <c r="D2" s="4">
        <v>46051.467361111114</v>
      </c>
      <c r="E2" s="3">
        <v>2999</v>
      </c>
      <c r="F2" s="3" t="s">
        <v>9</v>
      </c>
      <c r="G2" s="3" t="s">
        <v>10</v>
      </c>
      <c r="H2" s="3">
        <v>85</v>
      </c>
      <c r="I2" s="5">
        <f>INT(D2)</f>
        <v>46051</v>
      </c>
      <c r="J2" s="3">
        <f>IF(COUNTIFS($C$2:C2,C2,$I$2:I2,I2)=1,1,0)</f>
        <v>1</v>
      </c>
    </row>
    <row r="3" spans="1:10" x14ac:dyDescent="0.3">
      <c r="A3" s="3" t="s">
        <v>11</v>
      </c>
      <c r="B3" s="3">
        <v>287</v>
      </c>
      <c r="C3" s="3">
        <v>27</v>
      </c>
      <c r="D3" s="4">
        <v>46026.492361111108</v>
      </c>
      <c r="E3" s="3">
        <v>49</v>
      </c>
      <c r="F3" s="3" t="s">
        <v>12</v>
      </c>
      <c r="G3" s="3" t="s">
        <v>10</v>
      </c>
      <c r="H3" s="3">
        <v>79</v>
      </c>
      <c r="I3" s="5">
        <f t="shared" ref="I3:I66" si="0">INT(D3)</f>
        <v>46026</v>
      </c>
      <c r="J3" s="3">
        <f>IF(COUNTIFS($C$2:C3,C3,$I$2:I3,I3)=1,1,0)</f>
        <v>1</v>
      </c>
    </row>
    <row r="4" spans="1:10" x14ac:dyDescent="0.3">
      <c r="A4" s="3" t="s">
        <v>13</v>
      </c>
      <c r="B4" s="3">
        <v>122</v>
      </c>
      <c r="C4" s="3">
        <v>11</v>
      </c>
      <c r="D4" s="4">
        <v>46046.207638888889</v>
      </c>
      <c r="E4" s="3">
        <v>1499</v>
      </c>
      <c r="F4" s="3" t="s">
        <v>9</v>
      </c>
      <c r="G4" s="3" t="s">
        <v>10</v>
      </c>
      <c r="H4" s="3">
        <v>22</v>
      </c>
      <c r="I4" s="5">
        <f t="shared" si="0"/>
        <v>46046</v>
      </c>
      <c r="J4" s="3">
        <f>IF(COUNTIFS($C$2:C4,C4,$I$2:I4,I4)=1,1,0)</f>
        <v>1</v>
      </c>
    </row>
    <row r="5" spans="1:10" x14ac:dyDescent="0.3">
      <c r="A5" s="3" t="s">
        <v>14</v>
      </c>
      <c r="B5" s="3">
        <v>92</v>
      </c>
      <c r="C5" s="3">
        <v>22</v>
      </c>
      <c r="D5" s="4">
        <v>46051.542361111111</v>
      </c>
      <c r="E5" s="3">
        <v>49</v>
      </c>
      <c r="F5" s="3" t="s">
        <v>15</v>
      </c>
      <c r="G5" s="3" t="s">
        <v>10</v>
      </c>
      <c r="H5" s="3">
        <v>100</v>
      </c>
      <c r="I5" s="5">
        <f t="shared" si="0"/>
        <v>46051</v>
      </c>
      <c r="J5" s="3">
        <f>IF(COUNTIFS($C$2:C5,C5,$I$2:I5,I5)=1,1,0)</f>
        <v>1</v>
      </c>
    </row>
    <row r="6" spans="1:10" x14ac:dyDescent="0.3">
      <c r="A6" s="3" t="s">
        <v>16</v>
      </c>
      <c r="B6" s="3">
        <v>343</v>
      </c>
      <c r="C6" s="3">
        <v>16</v>
      </c>
      <c r="D6" s="4">
        <v>46052.57708333333</v>
      </c>
      <c r="E6" s="3">
        <v>99</v>
      </c>
      <c r="F6" s="3" t="s">
        <v>12</v>
      </c>
      <c r="G6" s="3" t="s">
        <v>10</v>
      </c>
      <c r="H6" s="3">
        <v>34</v>
      </c>
      <c r="I6" s="5">
        <f t="shared" si="0"/>
        <v>46052</v>
      </c>
      <c r="J6" s="3">
        <f>IF(COUNTIFS($C$2:C6,C6,$I$2:I6,I6)=1,1,0)</f>
        <v>1</v>
      </c>
    </row>
    <row r="7" spans="1:10" x14ac:dyDescent="0.3">
      <c r="A7" s="3" t="s">
        <v>17</v>
      </c>
      <c r="B7" s="3">
        <v>196</v>
      </c>
      <c r="C7" s="3">
        <v>3</v>
      </c>
      <c r="D7" s="4">
        <v>46028.92083333333</v>
      </c>
      <c r="E7" s="3">
        <v>99</v>
      </c>
      <c r="F7" s="3" t="s">
        <v>12</v>
      </c>
      <c r="G7" s="3" t="s">
        <v>10</v>
      </c>
      <c r="H7" s="3">
        <v>60</v>
      </c>
      <c r="I7" s="5">
        <f t="shared" si="0"/>
        <v>46028</v>
      </c>
      <c r="J7" s="3">
        <f>IF(COUNTIFS($C$2:C7,C7,$I$2:I7,I7)=1,1,0)</f>
        <v>1</v>
      </c>
    </row>
    <row r="8" spans="1:10" x14ac:dyDescent="0.3">
      <c r="A8" s="3" t="s">
        <v>18</v>
      </c>
      <c r="B8" s="3">
        <v>236</v>
      </c>
      <c r="C8" s="3">
        <v>23</v>
      </c>
      <c r="D8" s="4">
        <v>46030.286111111112</v>
      </c>
      <c r="E8" s="3">
        <v>99</v>
      </c>
      <c r="F8" s="3" t="s">
        <v>9</v>
      </c>
      <c r="G8" s="3" t="s">
        <v>10</v>
      </c>
      <c r="H8" s="3">
        <v>39</v>
      </c>
      <c r="I8" s="5">
        <f t="shared" si="0"/>
        <v>46030</v>
      </c>
      <c r="J8" s="3">
        <f>IF(COUNTIFS($C$2:C8,C8,$I$2:I8,I8)=1,1,0)</f>
        <v>1</v>
      </c>
    </row>
    <row r="9" spans="1:10" x14ac:dyDescent="0.3">
      <c r="A9" s="3" t="s">
        <v>19</v>
      </c>
      <c r="B9" s="3">
        <v>13</v>
      </c>
      <c r="C9" s="3">
        <v>13</v>
      </c>
      <c r="D9" s="4">
        <v>46049.301388888889</v>
      </c>
      <c r="E9" s="3">
        <v>99</v>
      </c>
      <c r="F9" s="3" t="s">
        <v>12</v>
      </c>
      <c r="G9" s="3" t="s">
        <v>10</v>
      </c>
      <c r="H9" s="3">
        <v>51</v>
      </c>
      <c r="I9" s="5">
        <f t="shared" si="0"/>
        <v>46049</v>
      </c>
      <c r="J9" s="3">
        <f>IF(COUNTIFS($C$2:C9,C9,$I$2:I9,I9)=1,1,0)</f>
        <v>1</v>
      </c>
    </row>
    <row r="10" spans="1:10" x14ac:dyDescent="0.3">
      <c r="A10" s="3" t="s">
        <v>20</v>
      </c>
      <c r="B10" s="3">
        <v>36</v>
      </c>
      <c r="C10" s="3">
        <v>18</v>
      </c>
      <c r="D10" s="4">
        <v>46033.371527777781</v>
      </c>
      <c r="E10" s="3">
        <v>799</v>
      </c>
      <c r="F10" s="3" t="s">
        <v>12</v>
      </c>
      <c r="G10" s="3" t="s">
        <v>10</v>
      </c>
      <c r="H10" s="3">
        <v>44</v>
      </c>
      <c r="I10" s="5">
        <f t="shared" si="0"/>
        <v>46033</v>
      </c>
      <c r="J10" s="3">
        <f>IF(COUNTIFS($C$2:C10,C10,$I$2:I10,I10)=1,1,0)</f>
        <v>1</v>
      </c>
    </row>
    <row r="11" spans="1:10" x14ac:dyDescent="0.3">
      <c r="A11" s="3" t="s">
        <v>21</v>
      </c>
      <c r="B11" s="3">
        <v>348</v>
      </c>
      <c r="C11" s="3">
        <v>35</v>
      </c>
      <c r="D11" s="4">
        <v>46043.684027777781</v>
      </c>
      <c r="E11" s="3">
        <v>299</v>
      </c>
      <c r="F11" s="3" t="s">
        <v>12</v>
      </c>
      <c r="G11" s="3" t="s">
        <v>10</v>
      </c>
      <c r="H11" s="3">
        <v>42</v>
      </c>
      <c r="I11" s="5">
        <f t="shared" si="0"/>
        <v>46043</v>
      </c>
      <c r="J11" s="3">
        <f>IF(COUNTIFS($C$2:C11,C11,$I$2:I11,I11)=1,1,0)</f>
        <v>1</v>
      </c>
    </row>
    <row r="12" spans="1:10" x14ac:dyDescent="0.3">
      <c r="A12" s="3" t="s">
        <v>22</v>
      </c>
      <c r="B12" s="3">
        <v>134</v>
      </c>
      <c r="C12" s="3">
        <v>12</v>
      </c>
      <c r="D12" s="4">
        <v>46023.163888888892</v>
      </c>
      <c r="E12" s="3">
        <v>49</v>
      </c>
      <c r="F12" s="3" t="s">
        <v>12</v>
      </c>
      <c r="G12" s="3" t="s">
        <v>10</v>
      </c>
      <c r="H12" s="3">
        <v>74</v>
      </c>
      <c r="I12" s="5">
        <f t="shared" si="0"/>
        <v>46023</v>
      </c>
      <c r="J12" s="3">
        <f>IF(COUNTIFS($C$2:C12,C12,$I$2:I12,I12)=1,1,0)</f>
        <v>1</v>
      </c>
    </row>
    <row r="13" spans="1:10" x14ac:dyDescent="0.3">
      <c r="A13" s="3" t="s">
        <v>23</v>
      </c>
      <c r="B13" s="3">
        <v>306</v>
      </c>
      <c r="C13" s="3">
        <v>28</v>
      </c>
      <c r="D13" s="4">
        <v>46031.04583333333</v>
      </c>
      <c r="E13" s="3">
        <v>2999</v>
      </c>
      <c r="F13" s="3" t="s">
        <v>24</v>
      </c>
      <c r="G13" s="3" t="s">
        <v>25</v>
      </c>
      <c r="H13" s="3">
        <v>44</v>
      </c>
      <c r="I13" s="5">
        <f t="shared" si="0"/>
        <v>46031</v>
      </c>
      <c r="J13" s="3">
        <f>IF(COUNTIFS($C$2:C13,C13,$I$2:I13,I13)=1,1,0)</f>
        <v>1</v>
      </c>
    </row>
    <row r="14" spans="1:10" x14ac:dyDescent="0.3">
      <c r="A14" s="3" t="s">
        <v>26</v>
      </c>
      <c r="B14" s="3">
        <v>311</v>
      </c>
      <c r="C14" s="3">
        <v>33</v>
      </c>
      <c r="D14" s="4">
        <v>46046.435416666667</v>
      </c>
      <c r="E14" s="3">
        <v>49</v>
      </c>
      <c r="F14" s="3" t="s">
        <v>9</v>
      </c>
      <c r="G14" s="3" t="s">
        <v>10</v>
      </c>
      <c r="H14" s="3">
        <v>14</v>
      </c>
      <c r="I14" s="5">
        <f t="shared" si="0"/>
        <v>46046</v>
      </c>
      <c r="J14" s="3">
        <f>IF(COUNTIFS($C$2:C14,C14,$I$2:I14,I14)=1,1,0)</f>
        <v>1</v>
      </c>
    </row>
    <row r="15" spans="1:10" x14ac:dyDescent="0.3">
      <c r="A15" s="3" t="s">
        <v>27</v>
      </c>
      <c r="B15" s="3">
        <v>131</v>
      </c>
      <c r="C15" s="3">
        <v>3</v>
      </c>
      <c r="D15" s="4">
        <v>46035.758333333331</v>
      </c>
      <c r="E15" s="3">
        <v>49</v>
      </c>
      <c r="F15" s="3" t="s">
        <v>12</v>
      </c>
      <c r="G15" s="3" t="s">
        <v>10</v>
      </c>
      <c r="H15" s="3">
        <v>90</v>
      </c>
      <c r="I15" s="5">
        <f t="shared" si="0"/>
        <v>46035</v>
      </c>
      <c r="J15" s="3">
        <f>IF(COUNTIFS($C$2:C15,C15,$I$2:I15,I15)=1,1,0)</f>
        <v>1</v>
      </c>
    </row>
    <row r="16" spans="1:10" x14ac:dyDescent="0.3">
      <c r="A16" s="3" t="s">
        <v>28</v>
      </c>
      <c r="B16" s="3">
        <v>276</v>
      </c>
      <c r="C16" s="3">
        <v>13</v>
      </c>
      <c r="D16" s="4">
        <v>46036.022916666669</v>
      </c>
      <c r="E16" s="3">
        <v>1499</v>
      </c>
      <c r="F16" s="3" t="s">
        <v>12</v>
      </c>
      <c r="G16" s="3" t="s">
        <v>10</v>
      </c>
      <c r="H16" s="3">
        <v>46</v>
      </c>
      <c r="I16" s="5">
        <f t="shared" si="0"/>
        <v>46036</v>
      </c>
      <c r="J16" s="3">
        <f>IF(COUNTIFS($C$2:C16,C16,$I$2:I16,I16)=1,1,0)</f>
        <v>1</v>
      </c>
    </row>
    <row r="17" spans="1:10" x14ac:dyDescent="0.3">
      <c r="A17" s="3" t="s">
        <v>29</v>
      </c>
      <c r="B17" s="3">
        <v>170</v>
      </c>
      <c r="C17" s="3">
        <v>40</v>
      </c>
      <c r="D17" s="4">
        <v>46036.112500000003</v>
      </c>
      <c r="E17" s="3">
        <v>99</v>
      </c>
      <c r="F17" s="3" t="s">
        <v>12</v>
      </c>
      <c r="G17" s="3" t="s">
        <v>10</v>
      </c>
      <c r="H17" s="3">
        <v>40</v>
      </c>
      <c r="I17" s="5">
        <f t="shared" si="0"/>
        <v>46036</v>
      </c>
      <c r="J17" s="3">
        <f>IF(COUNTIFS($C$2:C17,C17,$I$2:I17,I17)=1,1,0)</f>
        <v>1</v>
      </c>
    </row>
    <row r="18" spans="1:10" x14ac:dyDescent="0.3">
      <c r="A18" s="3" t="s">
        <v>30</v>
      </c>
      <c r="B18" s="3">
        <v>154</v>
      </c>
      <c r="C18" s="3">
        <v>33</v>
      </c>
      <c r="D18" s="4">
        <v>46044.156944444447</v>
      </c>
      <c r="E18" s="3">
        <v>99</v>
      </c>
      <c r="F18" s="3" t="s">
        <v>15</v>
      </c>
      <c r="G18" s="3" t="s">
        <v>10</v>
      </c>
      <c r="H18" s="3">
        <v>39</v>
      </c>
      <c r="I18" s="5">
        <f t="shared" si="0"/>
        <v>46044</v>
      </c>
      <c r="J18" s="3">
        <f>IF(COUNTIFS($C$2:C18,C18,$I$2:I18,I18)=1,1,0)</f>
        <v>1</v>
      </c>
    </row>
    <row r="19" spans="1:10" x14ac:dyDescent="0.3">
      <c r="A19" s="3" t="s">
        <v>31</v>
      </c>
      <c r="B19" s="3">
        <v>207</v>
      </c>
      <c r="C19" s="3">
        <v>19</v>
      </c>
      <c r="D19" s="4">
        <v>46044.555555555555</v>
      </c>
      <c r="E19" s="3">
        <v>2999</v>
      </c>
      <c r="F19" s="3" t="s">
        <v>24</v>
      </c>
      <c r="G19" s="3" t="s">
        <v>10</v>
      </c>
      <c r="H19" s="3">
        <v>70</v>
      </c>
      <c r="I19" s="5">
        <f t="shared" si="0"/>
        <v>46044</v>
      </c>
      <c r="J19" s="3">
        <f>IF(COUNTIFS($C$2:C19,C19,$I$2:I19,I19)=1,1,0)</f>
        <v>1</v>
      </c>
    </row>
    <row r="20" spans="1:10" x14ac:dyDescent="0.3">
      <c r="A20" s="3" t="s">
        <v>32</v>
      </c>
      <c r="B20" s="3">
        <v>341</v>
      </c>
      <c r="C20" s="3">
        <v>25</v>
      </c>
      <c r="D20" s="4">
        <v>46027.268055555556</v>
      </c>
      <c r="E20" s="3">
        <v>2999</v>
      </c>
      <c r="F20" s="3" t="s">
        <v>12</v>
      </c>
      <c r="G20" s="3" t="s">
        <v>10</v>
      </c>
      <c r="H20" s="3">
        <v>86</v>
      </c>
      <c r="I20" s="5">
        <f t="shared" si="0"/>
        <v>46027</v>
      </c>
      <c r="J20" s="3">
        <f>IF(COUNTIFS($C$2:C20,C20,$I$2:I20,I20)=1,1,0)</f>
        <v>1</v>
      </c>
    </row>
    <row r="21" spans="1:10" x14ac:dyDescent="0.3">
      <c r="A21" s="3" t="s">
        <v>33</v>
      </c>
      <c r="B21" s="3">
        <v>292</v>
      </c>
      <c r="C21" s="3">
        <v>20</v>
      </c>
      <c r="D21" s="4">
        <v>46046.23541666667</v>
      </c>
      <c r="E21" s="3">
        <v>49</v>
      </c>
      <c r="F21" s="3" t="s">
        <v>12</v>
      </c>
      <c r="G21" s="3" t="s">
        <v>10</v>
      </c>
      <c r="H21" s="3">
        <v>51</v>
      </c>
      <c r="I21" s="5">
        <f t="shared" si="0"/>
        <v>46046</v>
      </c>
      <c r="J21" s="3">
        <f>IF(COUNTIFS($C$2:C21,C21,$I$2:I21,I21)=1,1,0)</f>
        <v>1</v>
      </c>
    </row>
    <row r="22" spans="1:10" x14ac:dyDescent="0.3">
      <c r="A22" s="3" t="s">
        <v>34</v>
      </c>
      <c r="B22" s="3">
        <v>147</v>
      </c>
      <c r="C22" s="3">
        <v>14</v>
      </c>
      <c r="D22" s="4">
        <v>46040.013194444444</v>
      </c>
      <c r="E22" s="3">
        <v>99</v>
      </c>
      <c r="F22" s="3" t="s">
        <v>24</v>
      </c>
      <c r="G22" s="3" t="s">
        <v>10</v>
      </c>
      <c r="H22" s="3">
        <v>55</v>
      </c>
      <c r="I22" s="5">
        <f t="shared" si="0"/>
        <v>46040</v>
      </c>
      <c r="J22" s="3">
        <f>IF(COUNTIFS($C$2:C22,C22,$I$2:I22,I22)=1,1,0)</f>
        <v>1</v>
      </c>
    </row>
    <row r="23" spans="1:10" x14ac:dyDescent="0.3">
      <c r="A23" s="3" t="s">
        <v>35</v>
      </c>
      <c r="B23" s="3">
        <v>336</v>
      </c>
      <c r="C23" s="3">
        <v>21</v>
      </c>
      <c r="D23" s="4">
        <v>46048.776388888888</v>
      </c>
      <c r="E23" s="3">
        <v>99</v>
      </c>
      <c r="F23" s="3" t="s">
        <v>12</v>
      </c>
      <c r="G23" s="3" t="s">
        <v>10</v>
      </c>
      <c r="H23" s="3">
        <v>59</v>
      </c>
      <c r="I23" s="5">
        <f t="shared" si="0"/>
        <v>46048</v>
      </c>
      <c r="J23" s="3">
        <f>IF(COUNTIFS($C$2:C23,C23,$I$2:I23,I23)=1,1,0)</f>
        <v>1</v>
      </c>
    </row>
    <row r="24" spans="1:10" x14ac:dyDescent="0.3">
      <c r="A24" s="3" t="s">
        <v>36</v>
      </c>
      <c r="B24" s="3">
        <v>110</v>
      </c>
      <c r="C24" s="3">
        <v>33</v>
      </c>
      <c r="D24" s="4">
        <v>46037.613194444442</v>
      </c>
      <c r="E24" s="3">
        <v>799</v>
      </c>
      <c r="F24" s="3" t="s">
        <v>12</v>
      </c>
      <c r="G24" s="3" t="s">
        <v>10</v>
      </c>
      <c r="H24" s="3">
        <v>60</v>
      </c>
      <c r="I24" s="5">
        <f t="shared" si="0"/>
        <v>46037</v>
      </c>
      <c r="J24" s="3">
        <f>IF(COUNTIFS($C$2:C24,C24,$I$2:I24,I24)=1,1,0)</f>
        <v>1</v>
      </c>
    </row>
    <row r="25" spans="1:10" x14ac:dyDescent="0.3">
      <c r="A25" s="3" t="s">
        <v>37</v>
      </c>
      <c r="B25" s="3">
        <v>338</v>
      </c>
      <c r="C25" s="3">
        <v>6</v>
      </c>
      <c r="D25" s="4">
        <v>46048.965277777781</v>
      </c>
      <c r="E25" s="3">
        <v>799</v>
      </c>
      <c r="F25" s="3" t="s">
        <v>12</v>
      </c>
      <c r="G25" s="3" t="s">
        <v>38</v>
      </c>
      <c r="H25" s="3">
        <v>36</v>
      </c>
      <c r="I25" s="5">
        <f t="shared" si="0"/>
        <v>46048</v>
      </c>
      <c r="J25" s="3">
        <f>IF(COUNTIFS($C$2:C25,C25,$I$2:I25,I25)=1,1,0)</f>
        <v>1</v>
      </c>
    </row>
    <row r="26" spans="1:10" x14ac:dyDescent="0.3">
      <c r="A26" s="3" t="s">
        <v>39</v>
      </c>
      <c r="B26" s="3">
        <v>318</v>
      </c>
      <c r="C26" s="3">
        <v>22</v>
      </c>
      <c r="D26" s="4">
        <v>46039.902777777781</v>
      </c>
      <c r="E26" s="3">
        <v>799</v>
      </c>
      <c r="F26" s="3" t="s">
        <v>9</v>
      </c>
      <c r="G26" s="3" t="s">
        <v>10</v>
      </c>
      <c r="H26" s="3">
        <v>11</v>
      </c>
      <c r="I26" s="5">
        <f t="shared" si="0"/>
        <v>46039</v>
      </c>
      <c r="J26" s="3">
        <f>IF(COUNTIFS($C$2:C26,C26,$I$2:I26,I26)=1,1,0)</f>
        <v>1</v>
      </c>
    </row>
    <row r="27" spans="1:10" x14ac:dyDescent="0.3">
      <c r="A27" s="3" t="s">
        <v>40</v>
      </c>
      <c r="B27" s="3">
        <v>159</v>
      </c>
      <c r="C27" s="3">
        <v>15</v>
      </c>
      <c r="D27" s="4">
        <v>46049.321527777778</v>
      </c>
      <c r="E27" s="3">
        <v>799</v>
      </c>
      <c r="F27" s="3" t="s">
        <v>12</v>
      </c>
      <c r="G27" s="3" t="s">
        <v>10</v>
      </c>
      <c r="H27" s="3">
        <v>25</v>
      </c>
      <c r="I27" s="5">
        <f t="shared" si="0"/>
        <v>46049</v>
      </c>
      <c r="J27" s="3">
        <f>IF(COUNTIFS($C$2:C27,C27,$I$2:I27,I27)=1,1,0)</f>
        <v>1</v>
      </c>
    </row>
    <row r="28" spans="1:10" x14ac:dyDescent="0.3">
      <c r="A28" s="3" t="s">
        <v>41</v>
      </c>
      <c r="B28" s="3">
        <v>126</v>
      </c>
      <c r="C28" s="3">
        <v>31</v>
      </c>
      <c r="D28" s="4">
        <v>46027.001388888886</v>
      </c>
      <c r="E28" s="3">
        <v>49</v>
      </c>
      <c r="F28" s="3" t="s">
        <v>24</v>
      </c>
      <c r="G28" s="3" t="s">
        <v>10</v>
      </c>
      <c r="H28" s="3">
        <v>78</v>
      </c>
      <c r="I28" s="5">
        <f t="shared" si="0"/>
        <v>46027</v>
      </c>
      <c r="J28" s="3">
        <f>IF(COUNTIFS($C$2:C28,C28,$I$2:I28,I28)=1,1,0)</f>
        <v>1</v>
      </c>
    </row>
    <row r="29" spans="1:10" x14ac:dyDescent="0.3">
      <c r="A29" s="3" t="s">
        <v>42</v>
      </c>
      <c r="B29" s="3">
        <v>213</v>
      </c>
      <c r="C29" s="3">
        <v>37</v>
      </c>
      <c r="D29" s="4">
        <v>46050.103472222225</v>
      </c>
      <c r="E29" s="3">
        <v>99</v>
      </c>
      <c r="F29" s="3" t="s">
        <v>12</v>
      </c>
      <c r="G29" s="3" t="s">
        <v>10</v>
      </c>
      <c r="H29" s="3">
        <v>24</v>
      </c>
      <c r="I29" s="5">
        <f t="shared" si="0"/>
        <v>46050</v>
      </c>
      <c r="J29" s="3">
        <f>IF(COUNTIFS($C$2:C29,C29,$I$2:I29,I29)=1,1,0)</f>
        <v>1</v>
      </c>
    </row>
    <row r="30" spans="1:10" x14ac:dyDescent="0.3">
      <c r="A30" s="3" t="s">
        <v>43</v>
      </c>
      <c r="B30" s="3">
        <v>254</v>
      </c>
      <c r="C30" s="3">
        <v>26</v>
      </c>
      <c r="D30" s="4">
        <v>46045.933333333334</v>
      </c>
      <c r="E30" s="3">
        <v>99</v>
      </c>
      <c r="F30" s="3" t="s">
        <v>9</v>
      </c>
      <c r="G30" s="3" t="s">
        <v>10</v>
      </c>
      <c r="H30" s="3">
        <v>31</v>
      </c>
      <c r="I30" s="5">
        <f t="shared" si="0"/>
        <v>46045</v>
      </c>
      <c r="J30" s="3">
        <f>IF(COUNTIFS($C$2:C30,C30,$I$2:I30,I30)=1,1,0)</f>
        <v>1</v>
      </c>
    </row>
    <row r="31" spans="1:10" x14ac:dyDescent="0.3">
      <c r="A31" s="3" t="s">
        <v>44</v>
      </c>
      <c r="B31" s="3">
        <v>3</v>
      </c>
      <c r="C31" s="3">
        <v>7</v>
      </c>
      <c r="D31" s="4">
        <v>46027.863888888889</v>
      </c>
      <c r="E31" s="3">
        <v>1499</v>
      </c>
      <c r="F31" s="3" t="s">
        <v>12</v>
      </c>
      <c r="G31" s="3" t="s">
        <v>10</v>
      </c>
      <c r="H31" s="3">
        <v>99</v>
      </c>
      <c r="I31" s="5">
        <f t="shared" si="0"/>
        <v>46027</v>
      </c>
      <c r="J31" s="3">
        <f>IF(COUNTIFS($C$2:C31,C31,$I$2:I31,I31)=1,1,0)</f>
        <v>1</v>
      </c>
    </row>
    <row r="32" spans="1:10" x14ac:dyDescent="0.3">
      <c r="A32" s="3" t="s">
        <v>45</v>
      </c>
      <c r="B32" s="3">
        <v>266</v>
      </c>
      <c r="C32" s="3">
        <v>30</v>
      </c>
      <c r="D32" s="4">
        <v>46036.299305555556</v>
      </c>
      <c r="E32" s="3">
        <v>499</v>
      </c>
      <c r="F32" s="3" t="s">
        <v>24</v>
      </c>
      <c r="G32" s="3" t="s">
        <v>10</v>
      </c>
      <c r="H32" s="3">
        <v>6</v>
      </c>
      <c r="I32" s="5">
        <f t="shared" si="0"/>
        <v>46036</v>
      </c>
      <c r="J32" s="3">
        <f>IF(COUNTIFS($C$2:C32,C32,$I$2:I32,I32)=1,1,0)</f>
        <v>1</v>
      </c>
    </row>
    <row r="33" spans="1:10" x14ac:dyDescent="0.3">
      <c r="A33" s="3" t="s">
        <v>46</v>
      </c>
      <c r="B33" s="3">
        <v>63</v>
      </c>
      <c r="C33" s="3">
        <v>30</v>
      </c>
      <c r="D33" s="4">
        <v>46040.331944444442</v>
      </c>
      <c r="E33" s="3">
        <v>799</v>
      </c>
      <c r="F33" s="3" t="s">
        <v>12</v>
      </c>
      <c r="G33" s="3" t="s">
        <v>10</v>
      </c>
      <c r="H33" s="3">
        <v>17</v>
      </c>
      <c r="I33" s="5">
        <f t="shared" si="0"/>
        <v>46040</v>
      </c>
      <c r="J33" s="3">
        <f>IF(COUNTIFS($C$2:C33,C33,$I$2:I33,I33)=1,1,0)</f>
        <v>1</v>
      </c>
    </row>
    <row r="34" spans="1:10" x14ac:dyDescent="0.3">
      <c r="A34" s="3" t="s">
        <v>47</v>
      </c>
      <c r="B34" s="3">
        <v>272</v>
      </c>
      <c r="C34" s="3">
        <v>36</v>
      </c>
      <c r="D34" s="4">
        <v>46048.612500000003</v>
      </c>
      <c r="E34" s="3">
        <v>149</v>
      </c>
      <c r="F34" s="3" t="s">
        <v>12</v>
      </c>
      <c r="G34" s="3" t="s">
        <v>10</v>
      </c>
      <c r="H34" s="3">
        <v>76</v>
      </c>
      <c r="I34" s="5">
        <f t="shared" si="0"/>
        <v>46048</v>
      </c>
      <c r="J34" s="3">
        <f>IF(COUNTIFS($C$2:C34,C34,$I$2:I34,I34)=1,1,0)</f>
        <v>1</v>
      </c>
    </row>
    <row r="35" spans="1:10" x14ac:dyDescent="0.3">
      <c r="A35" s="3" t="s">
        <v>48</v>
      </c>
      <c r="B35" s="3">
        <v>259</v>
      </c>
      <c r="C35" s="3">
        <v>28</v>
      </c>
      <c r="D35" s="4">
        <v>46033.61041666667</v>
      </c>
      <c r="E35" s="3">
        <v>49</v>
      </c>
      <c r="F35" s="3" t="s">
        <v>9</v>
      </c>
      <c r="G35" s="3" t="s">
        <v>10</v>
      </c>
      <c r="H35" s="3">
        <v>70</v>
      </c>
      <c r="I35" s="5">
        <f t="shared" si="0"/>
        <v>46033</v>
      </c>
      <c r="J35" s="3">
        <f>IF(COUNTIFS($C$2:C35,C35,$I$2:I35,I35)=1,1,0)</f>
        <v>1</v>
      </c>
    </row>
    <row r="36" spans="1:10" x14ac:dyDescent="0.3">
      <c r="A36" s="3" t="s">
        <v>49</v>
      </c>
      <c r="B36" s="3">
        <v>244</v>
      </c>
      <c r="C36" s="3">
        <v>29</v>
      </c>
      <c r="D36" s="4">
        <v>46037.240972222222</v>
      </c>
      <c r="E36" s="3">
        <v>299</v>
      </c>
      <c r="F36" s="3" t="s">
        <v>15</v>
      </c>
      <c r="G36" s="3" t="s">
        <v>10</v>
      </c>
      <c r="H36" s="3">
        <v>33</v>
      </c>
      <c r="I36" s="5">
        <f t="shared" si="0"/>
        <v>46037</v>
      </c>
      <c r="J36" s="3">
        <f>IF(COUNTIFS($C$2:C36,C36,$I$2:I36,I36)=1,1,0)</f>
        <v>1</v>
      </c>
    </row>
    <row r="37" spans="1:10" x14ac:dyDescent="0.3">
      <c r="A37" s="3" t="s">
        <v>50</v>
      </c>
      <c r="B37" s="3">
        <v>327</v>
      </c>
      <c r="C37" s="3">
        <v>18</v>
      </c>
      <c r="D37" s="4">
        <v>46047.328472222223</v>
      </c>
      <c r="E37" s="3">
        <v>149</v>
      </c>
      <c r="F37" s="3" t="s">
        <v>24</v>
      </c>
      <c r="G37" s="3" t="s">
        <v>10</v>
      </c>
      <c r="H37" s="3">
        <v>98</v>
      </c>
      <c r="I37" s="5">
        <f t="shared" si="0"/>
        <v>46047</v>
      </c>
      <c r="J37" s="3">
        <f>IF(COUNTIFS($C$2:C37,C37,$I$2:I37,I37)=1,1,0)</f>
        <v>1</v>
      </c>
    </row>
    <row r="38" spans="1:10" x14ac:dyDescent="0.3">
      <c r="A38" s="3" t="s">
        <v>51</v>
      </c>
      <c r="B38" s="3">
        <v>321</v>
      </c>
      <c r="C38" s="3">
        <v>16</v>
      </c>
      <c r="D38" s="4">
        <v>46047.688194444447</v>
      </c>
      <c r="E38" s="3">
        <v>49</v>
      </c>
      <c r="F38" s="3" t="s">
        <v>12</v>
      </c>
      <c r="G38" s="3" t="s">
        <v>10</v>
      </c>
      <c r="H38" s="3">
        <v>35</v>
      </c>
      <c r="I38" s="5">
        <f t="shared" si="0"/>
        <v>46047</v>
      </c>
      <c r="J38" s="3">
        <f>IF(COUNTIFS($C$2:C38,C38,$I$2:I38,I38)=1,1,0)</f>
        <v>1</v>
      </c>
    </row>
    <row r="39" spans="1:10" x14ac:dyDescent="0.3">
      <c r="A39" s="3" t="s">
        <v>52</v>
      </c>
      <c r="B39" s="3">
        <v>147</v>
      </c>
      <c r="C39" s="3">
        <v>16</v>
      </c>
      <c r="D39" s="4">
        <v>46037.114583333336</v>
      </c>
      <c r="E39" s="3">
        <v>2999</v>
      </c>
      <c r="F39" s="3" t="s">
        <v>24</v>
      </c>
      <c r="G39" s="3" t="s">
        <v>10</v>
      </c>
      <c r="H39" s="3">
        <v>34</v>
      </c>
      <c r="I39" s="5">
        <f t="shared" si="0"/>
        <v>46037</v>
      </c>
      <c r="J39" s="3">
        <f>IF(COUNTIFS($C$2:C39,C39,$I$2:I39,I39)=1,1,0)</f>
        <v>1</v>
      </c>
    </row>
    <row r="40" spans="1:10" x14ac:dyDescent="0.3">
      <c r="A40" s="3" t="s">
        <v>53</v>
      </c>
      <c r="B40" s="3">
        <v>277</v>
      </c>
      <c r="C40" s="3">
        <v>6</v>
      </c>
      <c r="D40" s="4">
        <v>46033.456250000003</v>
      </c>
      <c r="E40" s="3">
        <v>1499</v>
      </c>
      <c r="F40" s="3" t="s">
        <v>24</v>
      </c>
      <c r="G40" s="3" t="s">
        <v>10</v>
      </c>
      <c r="H40" s="3">
        <v>17</v>
      </c>
      <c r="I40" s="5">
        <f t="shared" si="0"/>
        <v>46033</v>
      </c>
      <c r="J40" s="3">
        <f>IF(COUNTIFS($C$2:C40,C40,$I$2:I40,I40)=1,1,0)</f>
        <v>1</v>
      </c>
    </row>
    <row r="41" spans="1:10" x14ac:dyDescent="0.3">
      <c r="A41" s="3" t="s">
        <v>54</v>
      </c>
      <c r="B41" s="3">
        <v>79</v>
      </c>
      <c r="C41" s="3">
        <v>14</v>
      </c>
      <c r="D41" s="4">
        <v>46027.308333333334</v>
      </c>
      <c r="E41" s="3">
        <v>1499</v>
      </c>
      <c r="F41" s="3" t="s">
        <v>12</v>
      </c>
      <c r="G41" s="3" t="s">
        <v>10</v>
      </c>
      <c r="H41" s="3">
        <v>8</v>
      </c>
      <c r="I41" s="5">
        <f t="shared" si="0"/>
        <v>46027</v>
      </c>
      <c r="J41" s="3">
        <f>IF(COUNTIFS($C$2:C41,C41,$I$2:I41,I41)=1,1,0)</f>
        <v>1</v>
      </c>
    </row>
    <row r="42" spans="1:10" x14ac:dyDescent="0.3">
      <c r="A42" s="3" t="s">
        <v>55</v>
      </c>
      <c r="B42" s="3">
        <v>278</v>
      </c>
      <c r="C42" s="3">
        <v>30</v>
      </c>
      <c r="D42" s="4">
        <v>46036.556250000001</v>
      </c>
      <c r="E42" s="3">
        <v>1499</v>
      </c>
      <c r="F42" s="3" t="s">
        <v>12</v>
      </c>
      <c r="G42" s="3" t="s">
        <v>10</v>
      </c>
      <c r="H42" s="3">
        <v>53</v>
      </c>
      <c r="I42" s="5">
        <f t="shared" si="0"/>
        <v>46036</v>
      </c>
      <c r="J42" s="3">
        <f>IF(COUNTIFS($C$2:C42,C42,$I$2:I42,I42)=1,1,0)</f>
        <v>0</v>
      </c>
    </row>
    <row r="43" spans="1:10" x14ac:dyDescent="0.3">
      <c r="A43" s="3" t="s">
        <v>56</v>
      </c>
      <c r="B43" s="3">
        <v>216</v>
      </c>
      <c r="C43" s="3">
        <v>25</v>
      </c>
      <c r="D43" s="4">
        <v>46024.286805555559</v>
      </c>
      <c r="E43" s="3">
        <v>99</v>
      </c>
      <c r="F43" s="3" t="s">
        <v>12</v>
      </c>
      <c r="G43" s="3" t="s">
        <v>10</v>
      </c>
      <c r="H43" s="3">
        <v>98</v>
      </c>
      <c r="I43" s="5">
        <f t="shared" si="0"/>
        <v>46024</v>
      </c>
      <c r="J43" s="3">
        <f>IF(COUNTIFS($C$2:C43,C43,$I$2:I43,I43)=1,1,0)</f>
        <v>1</v>
      </c>
    </row>
    <row r="44" spans="1:10" x14ac:dyDescent="0.3">
      <c r="A44" s="3" t="s">
        <v>57</v>
      </c>
      <c r="B44" s="3">
        <v>295</v>
      </c>
      <c r="C44" s="3">
        <v>25</v>
      </c>
      <c r="D44" s="4">
        <v>46041.917361111111</v>
      </c>
      <c r="E44" s="3">
        <v>1499</v>
      </c>
      <c r="F44" s="3" t="s">
        <v>12</v>
      </c>
      <c r="G44" s="3" t="s">
        <v>10</v>
      </c>
      <c r="H44" s="3">
        <v>61</v>
      </c>
      <c r="I44" s="5">
        <f t="shared" si="0"/>
        <v>46041</v>
      </c>
      <c r="J44" s="3">
        <f>IF(COUNTIFS($C$2:C44,C44,$I$2:I44,I44)=1,1,0)</f>
        <v>1</v>
      </c>
    </row>
    <row r="45" spans="1:10" x14ac:dyDescent="0.3">
      <c r="A45" s="3" t="s">
        <v>58</v>
      </c>
      <c r="B45" s="3">
        <v>200</v>
      </c>
      <c r="C45" s="3">
        <v>27</v>
      </c>
      <c r="D45" s="4">
        <v>46023.47152777778</v>
      </c>
      <c r="E45" s="3">
        <v>149</v>
      </c>
      <c r="F45" s="3" t="s">
        <v>12</v>
      </c>
      <c r="G45" s="3" t="s">
        <v>10</v>
      </c>
      <c r="H45" s="3">
        <v>68</v>
      </c>
      <c r="I45" s="5">
        <f t="shared" si="0"/>
        <v>46023</v>
      </c>
      <c r="J45" s="3">
        <f>IF(COUNTIFS($C$2:C45,C45,$I$2:I45,I45)=1,1,0)</f>
        <v>1</v>
      </c>
    </row>
    <row r="46" spans="1:10" x14ac:dyDescent="0.3">
      <c r="A46" s="3" t="s">
        <v>59</v>
      </c>
      <c r="B46" s="3">
        <v>309</v>
      </c>
      <c r="C46" s="3">
        <v>15</v>
      </c>
      <c r="D46" s="4">
        <v>46046.981944444444</v>
      </c>
      <c r="E46" s="3">
        <v>99</v>
      </c>
      <c r="F46" s="3" t="s">
        <v>15</v>
      </c>
      <c r="G46" s="3" t="s">
        <v>10</v>
      </c>
      <c r="H46" s="3">
        <v>62</v>
      </c>
      <c r="I46" s="5">
        <f t="shared" si="0"/>
        <v>46046</v>
      </c>
      <c r="J46" s="3">
        <f>IF(COUNTIFS($C$2:C46,C46,$I$2:I46,I46)=1,1,0)</f>
        <v>1</v>
      </c>
    </row>
    <row r="47" spans="1:10" x14ac:dyDescent="0.3">
      <c r="A47" s="3" t="s">
        <v>60</v>
      </c>
      <c r="B47" s="3">
        <v>249</v>
      </c>
      <c r="C47" s="3">
        <v>2</v>
      </c>
      <c r="D47" s="4">
        <v>46030.352083333331</v>
      </c>
      <c r="E47" s="3">
        <v>299</v>
      </c>
      <c r="F47" s="3" t="s">
        <v>9</v>
      </c>
      <c r="G47" s="3" t="s">
        <v>10</v>
      </c>
      <c r="H47" s="3">
        <v>49</v>
      </c>
      <c r="I47" s="5">
        <f t="shared" si="0"/>
        <v>46030</v>
      </c>
      <c r="J47" s="3">
        <f>IF(COUNTIFS($C$2:C47,C47,$I$2:I47,I47)=1,1,0)</f>
        <v>1</v>
      </c>
    </row>
    <row r="48" spans="1:10" x14ac:dyDescent="0.3">
      <c r="A48" s="3" t="s">
        <v>61</v>
      </c>
      <c r="B48" s="3">
        <v>208</v>
      </c>
      <c r="C48" s="3">
        <v>11</v>
      </c>
      <c r="D48" s="4">
        <v>46033.904861111114</v>
      </c>
      <c r="E48" s="3">
        <v>4999</v>
      </c>
      <c r="F48" s="3" t="s">
        <v>15</v>
      </c>
      <c r="G48" s="3" t="s">
        <v>10</v>
      </c>
      <c r="H48" s="3">
        <v>59</v>
      </c>
      <c r="I48" s="5">
        <f t="shared" si="0"/>
        <v>46033</v>
      </c>
      <c r="J48" s="3">
        <f>IF(COUNTIFS($C$2:C48,C48,$I$2:I48,I48)=1,1,0)</f>
        <v>1</v>
      </c>
    </row>
    <row r="49" spans="1:10" x14ac:dyDescent="0.3">
      <c r="A49" s="3" t="s">
        <v>62</v>
      </c>
      <c r="B49" s="3">
        <v>274</v>
      </c>
      <c r="C49" s="3">
        <v>2</v>
      </c>
      <c r="D49" s="4">
        <v>46052.193749999999</v>
      </c>
      <c r="E49" s="3">
        <v>299</v>
      </c>
      <c r="F49" s="3" t="s">
        <v>12</v>
      </c>
      <c r="G49" s="3" t="s">
        <v>10</v>
      </c>
      <c r="H49" s="3">
        <v>50</v>
      </c>
      <c r="I49" s="5">
        <f t="shared" si="0"/>
        <v>46052</v>
      </c>
      <c r="J49" s="3">
        <f>IF(COUNTIFS($C$2:C49,C49,$I$2:I49,I49)=1,1,0)</f>
        <v>1</v>
      </c>
    </row>
    <row r="50" spans="1:10" x14ac:dyDescent="0.3">
      <c r="A50" s="3" t="s">
        <v>63</v>
      </c>
      <c r="B50" s="3">
        <v>14</v>
      </c>
      <c r="C50" s="3">
        <v>6</v>
      </c>
      <c r="D50" s="4">
        <v>46041.779166666667</v>
      </c>
      <c r="E50" s="3">
        <v>49</v>
      </c>
      <c r="F50" s="3" t="s">
        <v>9</v>
      </c>
      <c r="G50" s="3" t="s">
        <v>10</v>
      </c>
      <c r="H50" s="3">
        <v>82</v>
      </c>
      <c r="I50" s="5">
        <f t="shared" si="0"/>
        <v>46041</v>
      </c>
      <c r="J50" s="3">
        <f>IF(COUNTIFS($C$2:C50,C50,$I$2:I50,I50)=1,1,0)</f>
        <v>1</v>
      </c>
    </row>
    <row r="51" spans="1:10" x14ac:dyDescent="0.3">
      <c r="A51" s="3" t="s">
        <v>64</v>
      </c>
      <c r="B51" s="3">
        <v>237</v>
      </c>
      <c r="C51" s="3">
        <v>12</v>
      </c>
      <c r="D51" s="4">
        <v>46036.204861111109</v>
      </c>
      <c r="E51" s="3">
        <v>49</v>
      </c>
      <c r="F51" s="3" t="s">
        <v>12</v>
      </c>
      <c r="G51" s="3" t="s">
        <v>10</v>
      </c>
      <c r="H51" s="3">
        <v>6</v>
      </c>
      <c r="I51" s="5">
        <f t="shared" si="0"/>
        <v>46036</v>
      </c>
      <c r="J51" s="3">
        <f>IF(COUNTIFS($C$2:C51,C51,$I$2:I51,I51)=1,1,0)</f>
        <v>1</v>
      </c>
    </row>
    <row r="52" spans="1:10" x14ac:dyDescent="0.3">
      <c r="A52" s="3" t="s">
        <v>65</v>
      </c>
      <c r="B52" s="3">
        <v>109</v>
      </c>
      <c r="C52" s="3">
        <v>30</v>
      </c>
      <c r="D52" s="4">
        <v>46031.513888888891</v>
      </c>
      <c r="E52" s="3">
        <v>99</v>
      </c>
      <c r="F52" s="3" t="s">
        <v>12</v>
      </c>
      <c r="G52" s="3" t="s">
        <v>10</v>
      </c>
      <c r="H52" s="3">
        <v>41</v>
      </c>
      <c r="I52" s="5">
        <f t="shared" si="0"/>
        <v>46031</v>
      </c>
      <c r="J52" s="3">
        <f>IF(COUNTIFS($C$2:C52,C52,$I$2:I52,I52)=1,1,0)</f>
        <v>1</v>
      </c>
    </row>
    <row r="53" spans="1:10" x14ac:dyDescent="0.3">
      <c r="A53" s="3" t="s">
        <v>66</v>
      </c>
      <c r="B53" s="3">
        <v>216</v>
      </c>
      <c r="C53" s="3">
        <v>17</v>
      </c>
      <c r="D53" s="4">
        <v>46033.511805555558</v>
      </c>
      <c r="E53" s="3">
        <v>4999</v>
      </c>
      <c r="F53" s="3" t="s">
        <v>12</v>
      </c>
      <c r="G53" s="3" t="s">
        <v>10</v>
      </c>
      <c r="H53" s="3">
        <v>10</v>
      </c>
      <c r="I53" s="5">
        <f t="shared" si="0"/>
        <v>46033</v>
      </c>
      <c r="J53" s="3">
        <f>IF(COUNTIFS($C$2:C53,C53,$I$2:I53,I53)=1,1,0)</f>
        <v>1</v>
      </c>
    </row>
    <row r="54" spans="1:10" x14ac:dyDescent="0.3">
      <c r="A54" s="3" t="s">
        <v>67</v>
      </c>
      <c r="B54" s="3">
        <v>277</v>
      </c>
      <c r="C54" s="3">
        <v>4</v>
      </c>
      <c r="D54" s="4">
        <v>46038.032638888886</v>
      </c>
      <c r="E54" s="3">
        <v>799</v>
      </c>
      <c r="F54" s="3" t="s">
        <v>12</v>
      </c>
      <c r="G54" s="3" t="s">
        <v>10</v>
      </c>
      <c r="H54" s="3">
        <v>44</v>
      </c>
      <c r="I54" s="5">
        <f t="shared" si="0"/>
        <v>46038</v>
      </c>
      <c r="J54" s="3">
        <f>IF(COUNTIFS($C$2:C54,C54,$I$2:I54,I54)=1,1,0)</f>
        <v>1</v>
      </c>
    </row>
    <row r="55" spans="1:10" x14ac:dyDescent="0.3">
      <c r="A55" s="3" t="s">
        <v>68</v>
      </c>
      <c r="B55" s="3">
        <v>334</v>
      </c>
      <c r="C55" s="3">
        <v>3</v>
      </c>
      <c r="D55" s="4">
        <v>46030.836111111108</v>
      </c>
      <c r="E55" s="3">
        <v>149</v>
      </c>
      <c r="F55" s="3" t="s">
        <v>9</v>
      </c>
      <c r="G55" s="3" t="s">
        <v>10</v>
      </c>
      <c r="H55" s="3">
        <v>96</v>
      </c>
      <c r="I55" s="5">
        <f t="shared" si="0"/>
        <v>46030</v>
      </c>
      <c r="J55" s="3">
        <f>IF(COUNTIFS($C$2:C55,C55,$I$2:I55,I55)=1,1,0)</f>
        <v>1</v>
      </c>
    </row>
    <row r="56" spans="1:10" x14ac:dyDescent="0.3">
      <c r="A56" s="3" t="s">
        <v>69</v>
      </c>
      <c r="B56" s="3">
        <v>11</v>
      </c>
      <c r="C56" s="3">
        <v>40</v>
      </c>
      <c r="D56" s="4">
        <v>46023.3</v>
      </c>
      <c r="E56" s="3">
        <v>299</v>
      </c>
      <c r="F56" s="3" t="s">
        <v>12</v>
      </c>
      <c r="G56" s="3" t="s">
        <v>10</v>
      </c>
      <c r="H56" s="3">
        <v>19</v>
      </c>
      <c r="I56" s="5">
        <f t="shared" si="0"/>
        <v>46023</v>
      </c>
      <c r="J56" s="3">
        <f>IF(COUNTIFS($C$2:C56,C56,$I$2:I56,I56)=1,1,0)</f>
        <v>1</v>
      </c>
    </row>
    <row r="57" spans="1:10" x14ac:dyDescent="0.3">
      <c r="A57" s="3" t="s">
        <v>70</v>
      </c>
      <c r="B57" s="3">
        <v>343</v>
      </c>
      <c r="C57" s="3">
        <v>8</v>
      </c>
      <c r="D57" s="4">
        <v>46030.1875</v>
      </c>
      <c r="E57" s="3">
        <v>99</v>
      </c>
      <c r="F57" s="3" t="s">
        <v>12</v>
      </c>
      <c r="G57" s="3" t="s">
        <v>10</v>
      </c>
      <c r="H57" s="3">
        <v>72</v>
      </c>
      <c r="I57" s="5">
        <f t="shared" si="0"/>
        <v>46030</v>
      </c>
      <c r="J57" s="3">
        <f>IF(COUNTIFS($C$2:C57,C57,$I$2:I57,I57)=1,1,0)</f>
        <v>1</v>
      </c>
    </row>
    <row r="58" spans="1:10" x14ac:dyDescent="0.3">
      <c r="A58" s="3" t="s">
        <v>71</v>
      </c>
      <c r="B58" s="3">
        <v>132</v>
      </c>
      <c r="C58" s="3">
        <v>24</v>
      </c>
      <c r="D58" s="4">
        <v>46029.613888888889</v>
      </c>
      <c r="E58" s="3">
        <v>299</v>
      </c>
      <c r="F58" s="3" t="s">
        <v>9</v>
      </c>
      <c r="G58" s="3" t="s">
        <v>10</v>
      </c>
      <c r="H58" s="3">
        <v>21</v>
      </c>
      <c r="I58" s="5">
        <f t="shared" si="0"/>
        <v>46029</v>
      </c>
      <c r="J58" s="3">
        <f>IF(COUNTIFS($C$2:C58,C58,$I$2:I58,I58)=1,1,0)</f>
        <v>1</v>
      </c>
    </row>
    <row r="59" spans="1:10" x14ac:dyDescent="0.3">
      <c r="A59" s="3" t="s">
        <v>72</v>
      </c>
      <c r="B59" s="3">
        <v>59</v>
      </c>
      <c r="C59" s="3">
        <v>11</v>
      </c>
      <c r="D59" s="4">
        <v>46042.824305555558</v>
      </c>
      <c r="E59" s="3">
        <v>299</v>
      </c>
      <c r="F59" s="3" t="s">
        <v>12</v>
      </c>
      <c r="G59" s="3" t="s">
        <v>10</v>
      </c>
      <c r="H59" s="3">
        <v>39</v>
      </c>
      <c r="I59" s="5">
        <f t="shared" si="0"/>
        <v>46042</v>
      </c>
      <c r="J59" s="3">
        <f>IF(COUNTIFS($C$2:C59,C59,$I$2:I59,I59)=1,1,0)</f>
        <v>1</v>
      </c>
    </row>
    <row r="60" spans="1:10" x14ac:dyDescent="0.3">
      <c r="A60" s="3" t="s">
        <v>73</v>
      </c>
      <c r="B60" s="3">
        <v>160</v>
      </c>
      <c r="C60" s="3">
        <v>37</v>
      </c>
      <c r="D60" s="4">
        <v>46026.750694444447</v>
      </c>
      <c r="E60" s="3">
        <v>49</v>
      </c>
      <c r="F60" s="3" t="s">
        <v>9</v>
      </c>
      <c r="G60" s="3" t="s">
        <v>10</v>
      </c>
      <c r="H60" s="3">
        <v>86</v>
      </c>
      <c r="I60" s="5">
        <f t="shared" si="0"/>
        <v>46026</v>
      </c>
      <c r="J60" s="3">
        <f>IF(COUNTIFS($C$2:C60,C60,$I$2:I60,I60)=1,1,0)</f>
        <v>1</v>
      </c>
    </row>
    <row r="61" spans="1:10" x14ac:dyDescent="0.3">
      <c r="A61" s="3" t="s">
        <v>74</v>
      </c>
      <c r="B61" s="3">
        <v>102</v>
      </c>
      <c r="C61" s="3">
        <v>5</v>
      </c>
      <c r="D61" s="4">
        <v>46052.517361111109</v>
      </c>
      <c r="E61" s="3">
        <v>2999</v>
      </c>
      <c r="F61" s="3" t="s">
        <v>12</v>
      </c>
      <c r="G61" s="3" t="s">
        <v>10</v>
      </c>
      <c r="H61" s="3">
        <v>75</v>
      </c>
      <c r="I61" s="5">
        <f t="shared" si="0"/>
        <v>46052</v>
      </c>
      <c r="J61" s="3">
        <f>IF(COUNTIFS($C$2:C61,C61,$I$2:I61,I61)=1,1,0)</f>
        <v>1</v>
      </c>
    </row>
    <row r="62" spans="1:10" x14ac:dyDescent="0.3">
      <c r="A62" s="3" t="s">
        <v>75</v>
      </c>
      <c r="B62" s="3">
        <v>53</v>
      </c>
      <c r="C62" s="3">
        <v>20</v>
      </c>
      <c r="D62" s="4">
        <v>46045.84375</v>
      </c>
      <c r="E62" s="3">
        <v>49</v>
      </c>
      <c r="F62" s="3" t="s">
        <v>15</v>
      </c>
      <c r="G62" s="3" t="s">
        <v>10</v>
      </c>
      <c r="H62" s="3">
        <v>87</v>
      </c>
      <c r="I62" s="5">
        <f t="shared" si="0"/>
        <v>46045</v>
      </c>
      <c r="J62" s="3">
        <f>IF(COUNTIFS($C$2:C62,C62,$I$2:I62,I62)=1,1,0)</f>
        <v>1</v>
      </c>
    </row>
    <row r="63" spans="1:10" x14ac:dyDescent="0.3">
      <c r="A63" s="3" t="s">
        <v>76</v>
      </c>
      <c r="B63" s="3">
        <v>290</v>
      </c>
      <c r="C63" s="3">
        <v>3</v>
      </c>
      <c r="D63" s="4">
        <v>46042.159722222219</v>
      </c>
      <c r="E63" s="3">
        <v>99</v>
      </c>
      <c r="F63" s="3" t="s">
        <v>9</v>
      </c>
      <c r="G63" s="3" t="s">
        <v>10</v>
      </c>
      <c r="H63" s="3">
        <v>44</v>
      </c>
      <c r="I63" s="5">
        <f t="shared" si="0"/>
        <v>46042</v>
      </c>
      <c r="J63" s="3">
        <f>IF(COUNTIFS($C$2:C63,C63,$I$2:I63,I63)=1,1,0)</f>
        <v>1</v>
      </c>
    </row>
    <row r="64" spans="1:10" x14ac:dyDescent="0.3">
      <c r="A64" s="3" t="s">
        <v>77</v>
      </c>
      <c r="B64" s="3">
        <v>190</v>
      </c>
      <c r="C64" s="3">
        <v>5</v>
      </c>
      <c r="D64" s="4">
        <v>46040.570833333331</v>
      </c>
      <c r="E64" s="3">
        <v>299</v>
      </c>
      <c r="F64" s="3" t="s">
        <v>12</v>
      </c>
      <c r="G64" s="3" t="s">
        <v>10</v>
      </c>
      <c r="H64" s="3">
        <v>64</v>
      </c>
      <c r="I64" s="5">
        <f t="shared" si="0"/>
        <v>46040</v>
      </c>
      <c r="J64" s="3">
        <f>IF(COUNTIFS($C$2:C64,C64,$I$2:I64,I64)=1,1,0)</f>
        <v>1</v>
      </c>
    </row>
    <row r="65" spans="1:10" x14ac:dyDescent="0.3">
      <c r="A65" s="3" t="s">
        <v>78</v>
      </c>
      <c r="B65" s="3">
        <v>216</v>
      </c>
      <c r="C65" s="3">
        <v>32</v>
      </c>
      <c r="D65" s="4">
        <v>46043.416666666664</v>
      </c>
      <c r="E65" s="3">
        <v>49</v>
      </c>
      <c r="F65" s="3" t="s">
        <v>24</v>
      </c>
      <c r="G65" s="3" t="s">
        <v>10</v>
      </c>
      <c r="H65" s="3">
        <v>13</v>
      </c>
      <c r="I65" s="5">
        <f t="shared" si="0"/>
        <v>46043</v>
      </c>
      <c r="J65" s="3">
        <f>IF(COUNTIFS($C$2:C65,C65,$I$2:I65,I65)=1,1,0)</f>
        <v>1</v>
      </c>
    </row>
    <row r="66" spans="1:10" x14ac:dyDescent="0.3">
      <c r="A66" s="3" t="s">
        <v>79</v>
      </c>
      <c r="B66" s="3">
        <v>236</v>
      </c>
      <c r="C66" s="3">
        <v>10</v>
      </c>
      <c r="D66" s="4">
        <v>46036.486111111109</v>
      </c>
      <c r="E66" s="3">
        <v>499</v>
      </c>
      <c r="F66" s="3" t="s">
        <v>12</v>
      </c>
      <c r="G66" s="3" t="s">
        <v>10</v>
      </c>
      <c r="H66" s="3">
        <v>55</v>
      </c>
      <c r="I66" s="5">
        <f t="shared" si="0"/>
        <v>46036</v>
      </c>
      <c r="J66" s="3">
        <f>IF(COUNTIFS($C$2:C66,C66,$I$2:I66,I66)=1,1,0)</f>
        <v>1</v>
      </c>
    </row>
    <row r="67" spans="1:10" x14ac:dyDescent="0.3">
      <c r="A67" s="3" t="s">
        <v>80</v>
      </c>
      <c r="B67" s="3">
        <v>334</v>
      </c>
      <c r="C67" s="3">
        <v>18</v>
      </c>
      <c r="D67" s="4">
        <v>46028.981249999997</v>
      </c>
      <c r="E67" s="3">
        <v>499</v>
      </c>
      <c r="F67" s="3" t="s">
        <v>24</v>
      </c>
      <c r="G67" s="3" t="s">
        <v>10</v>
      </c>
      <c r="H67" s="3">
        <v>78</v>
      </c>
      <c r="I67" s="5">
        <f t="shared" ref="I67:I130" si="1">INT(D67)</f>
        <v>46028</v>
      </c>
      <c r="J67" s="3">
        <f>IF(COUNTIFS($C$2:C67,C67,$I$2:I67,I67)=1,1,0)</f>
        <v>1</v>
      </c>
    </row>
    <row r="68" spans="1:10" x14ac:dyDescent="0.3">
      <c r="A68" s="3" t="s">
        <v>81</v>
      </c>
      <c r="B68" s="3">
        <v>248</v>
      </c>
      <c r="C68" s="3">
        <v>30</v>
      </c>
      <c r="D68" s="4">
        <v>46048.742361111108</v>
      </c>
      <c r="E68" s="3">
        <v>799</v>
      </c>
      <c r="F68" s="3" t="s">
        <v>9</v>
      </c>
      <c r="G68" s="3" t="s">
        <v>10</v>
      </c>
      <c r="H68" s="3">
        <v>55</v>
      </c>
      <c r="I68" s="5">
        <f t="shared" si="1"/>
        <v>46048</v>
      </c>
      <c r="J68" s="3">
        <f>IF(COUNTIFS($C$2:C68,C68,$I$2:I68,I68)=1,1,0)</f>
        <v>1</v>
      </c>
    </row>
    <row r="69" spans="1:10" x14ac:dyDescent="0.3">
      <c r="A69" s="3" t="s">
        <v>82</v>
      </c>
      <c r="B69" s="3">
        <v>138</v>
      </c>
      <c r="C69" s="3">
        <v>21</v>
      </c>
      <c r="D69" s="4">
        <v>46049.984027777777</v>
      </c>
      <c r="E69" s="3">
        <v>49</v>
      </c>
      <c r="F69" s="3" t="s">
        <v>24</v>
      </c>
      <c r="G69" s="3" t="s">
        <v>10</v>
      </c>
      <c r="H69" s="3">
        <v>31</v>
      </c>
      <c r="I69" s="5">
        <f t="shared" si="1"/>
        <v>46049</v>
      </c>
      <c r="J69" s="3">
        <f>IF(COUNTIFS($C$2:C69,C69,$I$2:I69,I69)=1,1,0)</f>
        <v>1</v>
      </c>
    </row>
    <row r="70" spans="1:10" x14ac:dyDescent="0.3">
      <c r="A70" s="3" t="s">
        <v>83</v>
      </c>
      <c r="B70" s="3">
        <v>231</v>
      </c>
      <c r="C70" s="3">
        <v>16</v>
      </c>
      <c r="D70" s="4">
        <v>46049.095138888886</v>
      </c>
      <c r="E70" s="3">
        <v>49</v>
      </c>
      <c r="F70" s="3" t="s">
        <v>12</v>
      </c>
      <c r="G70" s="3" t="s">
        <v>10</v>
      </c>
      <c r="H70" s="3">
        <v>96</v>
      </c>
      <c r="I70" s="5">
        <f t="shared" si="1"/>
        <v>46049</v>
      </c>
      <c r="J70" s="3">
        <f>IF(COUNTIFS($C$2:C70,C70,$I$2:I70,I70)=1,1,0)</f>
        <v>1</v>
      </c>
    </row>
    <row r="71" spans="1:10" x14ac:dyDescent="0.3">
      <c r="A71" s="3" t="s">
        <v>84</v>
      </c>
      <c r="B71" s="3">
        <v>343</v>
      </c>
      <c r="C71" s="3">
        <v>25</v>
      </c>
      <c r="D71" s="4">
        <v>46037.777083333334</v>
      </c>
      <c r="E71" s="3">
        <v>49</v>
      </c>
      <c r="F71" s="3" t="s">
        <v>12</v>
      </c>
      <c r="G71" s="3" t="s">
        <v>10</v>
      </c>
      <c r="H71" s="3">
        <v>43</v>
      </c>
      <c r="I71" s="5">
        <f t="shared" si="1"/>
        <v>46037</v>
      </c>
      <c r="J71" s="3">
        <f>IF(COUNTIFS($C$2:C71,C71,$I$2:I71,I71)=1,1,0)</f>
        <v>1</v>
      </c>
    </row>
    <row r="72" spans="1:10" x14ac:dyDescent="0.3">
      <c r="A72" s="3" t="s">
        <v>85</v>
      </c>
      <c r="B72" s="3">
        <v>167</v>
      </c>
      <c r="C72" s="3">
        <v>12</v>
      </c>
      <c r="D72" s="4">
        <v>46023.662499999999</v>
      </c>
      <c r="E72" s="3">
        <v>499</v>
      </c>
      <c r="F72" s="3" t="s">
        <v>9</v>
      </c>
      <c r="G72" s="3" t="s">
        <v>10</v>
      </c>
      <c r="H72" s="3">
        <v>62</v>
      </c>
      <c r="I72" s="5">
        <f t="shared" si="1"/>
        <v>46023</v>
      </c>
      <c r="J72" s="3">
        <f>IF(COUNTIFS($C$2:C72,C72,$I$2:I72,I72)=1,1,0)</f>
        <v>0</v>
      </c>
    </row>
    <row r="73" spans="1:10" x14ac:dyDescent="0.3">
      <c r="A73" s="3" t="s">
        <v>86</v>
      </c>
      <c r="B73" s="3">
        <v>133</v>
      </c>
      <c r="C73" s="3">
        <v>22</v>
      </c>
      <c r="D73" s="4">
        <v>46029.493750000001</v>
      </c>
      <c r="E73" s="3">
        <v>499</v>
      </c>
      <c r="F73" s="3" t="s">
        <v>12</v>
      </c>
      <c r="G73" s="3" t="s">
        <v>10</v>
      </c>
      <c r="H73" s="3">
        <v>35</v>
      </c>
      <c r="I73" s="5">
        <f t="shared" si="1"/>
        <v>46029</v>
      </c>
      <c r="J73" s="3">
        <f>IF(COUNTIFS($C$2:C73,C73,$I$2:I73,I73)=1,1,0)</f>
        <v>1</v>
      </c>
    </row>
    <row r="74" spans="1:10" x14ac:dyDescent="0.3">
      <c r="A74" s="3" t="s">
        <v>87</v>
      </c>
      <c r="B74" s="3">
        <v>142</v>
      </c>
      <c r="C74" s="3">
        <v>36</v>
      </c>
      <c r="D74" s="4">
        <v>46051.822222222225</v>
      </c>
      <c r="E74" s="3">
        <v>799</v>
      </c>
      <c r="F74" s="3" t="s">
        <v>9</v>
      </c>
      <c r="G74" s="3" t="s">
        <v>10</v>
      </c>
      <c r="H74" s="3">
        <v>1</v>
      </c>
      <c r="I74" s="5">
        <f t="shared" si="1"/>
        <v>46051</v>
      </c>
      <c r="J74" s="3">
        <f>IF(COUNTIFS($C$2:C74,C74,$I$2:I74,I74)=1,1,0)</f>
        <v>1</v>
      </c>
    </row>
    <row r="75" spans="1:10" x14ac:dyDescent="0.3">
      <c r="A75" s="3" t="s">
        <v>88</v>
      </c>
      <c r="B75" s="3">
        <v>124</v>
      </c>
      <c r="C75" s="3">
        <v>27</v>
      </c>
      <c r="D75" s="4">
        <v>46039.253472222219</v>
      </c>
      <c r="E75" s="3">
        <v>499</v>
      </c>
      <c r="F75" s="3" t="s">
        <v>9</v>
      </c>
      <c r="G75" s="3" t="s">
        <v>10</v>
      </c>
      <c r="H75" s="3">
        <v>62</v>
      </c>
      <c r="I75" s="5">
        <f t="shared" si="1"/>
        <v>46039</v>
      </c>
      <c r="J75" s="3">
        <f>IF(COUNTIFS($C$2:C75,C75,$I$2:I75,I75)=1,1,0)</f>
        <v>1</v>
      </c>
    </row>
    <row r="76" spans="1:10" x14ac:dyDescent="0.3">
      <c r="A76" s="3" t="s">
        <v>89</v>
      </c>
      <c r="B76" s="3">
        <v>244</v>
      </c>
      <c r="C76" s="3">
        <v>32</v>
      </c>
      <c r="D76" s="4">
        <v>46040.322222222225</v>
      </c>
      <c r="E76" s="3">
        <v>149</v>
      </c>
      <c r="F76" s="3" t="s">
        <v>12</v>
      </c>
      <c r="G76" s="3" t="s">
        <v>10</v>
      </c>
      <c r="H76" s="3">
        <v>57</v>
      </c>
      <c r="I76" s="5">
        <f t="shared" si="1"/>
        <v>46040</v>
      </c>
      <c r="J76" s="3">
        <f>IF(COUNTIFS($C$2:C76,C76,$I$2:I76,I76)=1,1,0)</f>
        <v>1</v>
      </c>
    </row>
    <row r="77" spans="1:10" x14ac:dyDescent="0.3">
      <c r="A77" s="3" t="s">
        <v>90</v>
      </c>
      <c r="B77" s="3">
        <v>151</v>
      </c>
      <c r="C77" s="3">
        <v>15</v>
      </c>
      <c r="D77" s="4">
        <v>46048.003472222219</v>
      </c>
      <c r="E77" s="3">
        <v>4999</v>
      </c>
      <c r="F77" s="3" t="s">
        <v>12</v>
      </c>
      <c r="G77" s="3" t="s">
        <v>10</v>
      </c>
      <c r="H77" s="3">
        <v>51</v>
      </c>
      <c r="I77" s="5">
        <f t="shared" si="1"/>
        <v>46048</v>
      </c>
      <c r="J77" s="3">
        <f>IF(COUNTIFS($C$2:C77,C77,$I$2:I77,I77)=1,1,0)</f>
        <v>1</v>
      </c>
    </row>
    <row r="78" spans="1:10" x14ac:dyDescent="0.3">
      <c r="A78" s="3" t="s">
        <v>91</v>
      </c>
      <c r="B78" s="3">
        <v>340</v>
      </c>
      <c r="C78" s="3">
        <v>38</v>
      </c>
      <c r="D78" s="4">
        <v>46045.304861111108</v>
      </c>
      <c r="E78" s="3">
        <v>499</v>
      </c>
      <c r="F78" s="3" t="s">
        <v>24</v>
      </c>
      <c r="G78" s="3" t="s">
        <v>10</v>
      </c>
      <c r="H78" s="3">
        <v>47</v>
      </c>
      <c r="I78" s="5">
        <f t="shared" si="1"/>
        <v>46045</v>
      </c>
      <c r="J78" s="3">
        <f>IF(COUNTIFS($C$2:C78,C78,$I$2:I78,I78)=1,1,0)</f>
        <v>1</v>
      </c>
    </row>
    <row r="79" spans="1:10" x14ac:dyDescent="0.3">
      <c r="A79" s="3" t="s">
        <v>92</v>
      </c>
      <c r="B79" s="3">
        <v>177</v>
      </c>
      <c r="C79" s="3">
        <v>28</v>
      </c>
      <c r="D79" s="4">
        <v>46038.731249999997</v>
      </c>
      <c r="E79" s="3">
        <v>299</v>
      </c>
      <c r="F79" s="3" t="s">
        <v>12</v>
      </c>
      <c r="G79" s="3" t="s">
        <v>10</v>
      </c>
      <c r="H79" s="3">
        <v>95</v>
      </c>
      <c r="I79" s="5">
        <f t="shared" si="1"/>
        <v>46038</v>
      </c>
      <c r="J79" s="3">
        <f>IF(COUNTIFS($C$2:C79,C79,$I$2:I79,I79)=1,1,0)</f>
        <v>1</v>
      </c>
    </row>
    <row r="80" spans="1:10" x14ac:dyDescent="0.3">
      <c r="A80" s="3" t="s">
        <v>93</v>
      </c>
      <c r="B80" s="3">
        <v>233</v>
      </c>
      <c r="C80" s="3">
        <v>18</v>
      </c>
      <c r="D80" s="4">
        <v>46040.431944444441</v>
      </c>
      <c r="E80" s="3">
        <v>499</v>
      </c>
      <c r="F80" s="3" t="s">
        <v>12</v>
      </c>
      <c r="G80" s="3" t="s">
        <v>10</v>
      </c>
      <c r="H80" s="3">
        <v>39</v>
      </c>
      <c r="I80" s="5">
        <f t="shared" si="1"/>
        <v>46040</v>
      </c>
      <c r="J80" s="3">
        <f>IF(COUNTIFS($C$2:C80,C80,$I$2:I80,I80)=1,1,0)</f>
        <v>1</v>
      </c>
    </row>
    <row r="81" spans="1:10" x14ac:dyDescent="0.3">
      <c r="A81" s="3" t="s">
        <v>94</v>
      </c>
      <c r="B81" s="3">
        <v>99</v>
      </c>
      <c r="C81" s="3">
        <v>21</v>
      </c>
      <c r="D81" s="4">
        <v>46031.296527777777</v>
      </c>
      <c r="E81" s="3">
        <v>499</v>
      </c>
      <c r="F81" s="3" t="s">
        <v>12</v>
      </c>
      <c r="G81" s="3" t="s">
        <v>10</v>
      </c>
      <c r="H81" s="3">
        <v>15</v>
      </c>
      <c r="I81" s="5">
        <f t="shared" si="1"/>
        <v>46031</v>
      </c>
      <c r="J81" s="3">
        <f>IF(COUNTIFS($C$2:C81,C81,$I$2:I81,I81)=1,1,0)</f>
        <v>1</v>
      </c>
    </row>
    <row r="82" spans="1:10" x14ac:dyDescent="0.3">
      <c r="A82" s="3" t="s">
        <v>95</v>
      </c>
      <c r="B82" s="3">
        <v>95</v>
      </c>
      <c r="C82" s="3">
        <v>13</v>
      </c>
      <c r="D82" s="4">
        <v>46046.741666666669</v>
      </c>
      <c r="E82" s="3">
        <v>2999</v>
      </c>
      <c r="F82" s="3" t="s">
        <v>15</v>
      </c>
      <c r="G82" s="3" t="s">
        <v>25</v>
      </c>
      <c r="H82" s="3">
        <v>27</v>
      </c>
      <c r="I82" s="5">
        <f t="shared" si="1"/>
        <v>46046</v>
      </c>
      <c r="J82" s="3">
        <f>IF(COUNTIFS($C$2:C82,C82,$I$2:I82,I82)=1,1,0)</f>
        <v>1</v>
      </c>
    </row>
    <row r="83" spans="1:10" x14ac:dyDescent="0.3">
      <c r="A83" s="3" t="s">
        <v>96</v>
      </c>
      <c r="B83" s="3">
        <v>302</v>
      </c>
      <c r="C83" s="3">
        <v>34</v>
      </c>
      <c r="D83" s="4">
        <v>46046.636805555558</v>
      </c>
      <c r="E83" s="3">
        <v>49</v>
      </c>
      <c r="F83" s="3" t="s">
        <v>15</v>
      </c>
      <c r="G83" s="3" t="s">
        <v>10</v>
      </c>
      <c r="H83" s="3">
        <v>76</v>
      </c>
      <c r="I83" s="5">
        <f t="shared" si="1"/>
        <v>46046</v>
      </c>
      <c r="J83" s="3">
        <f>IF(COUNTIFS($C$2:C83,C83,$I$2:I83,I83)=1,1,0)</f>
        <v>1</v>
      </c>
    </row>
    <row r="84" spans="1:10" x14ac:dyDescent="0.3">
      <c r="A84" s="3" t="s">
        <v>97</v>
      </c>
      <c r="B84" s="3">
        <v>100</v>
      </c>
      <c r="C84" s="3">
        <v>19</v>
      </c>
      <c r="D84" s="4">
        <v>46032.161805555559</v>
      </c>
      <c r="E84" s="3">
        <v>2999</v>
      </c>
      <c r="F84" s="3" t="s">
        <v>15</v>
      </c>
      <c r="G84" s="3" t="s">
        <v>10</v>
      </c>
      <c r="H84" s="3">
        <v>29</v>
      </c>
      <c r="I84" s="5">
        <f t="shared" si="1"/>
        <v>46032</v>
      </c>
      <c r="J84" s="3">
        <f>IF(COUNTIFS($C$2:C84,C84,$I$2:I84,I84)=1,1,0)</f>
        <v>1</v>
      </c>
    </row>
    <row r="85" spans="1:10" x14ac:dyDescent="0.3">
      <c r="A85" s="3" t="s">
        <v>98</v>
      </c>
      <c r="B85" s="3">
        <v>8</v>
      </c>
      <c r="C85" s="3">
        <v>35</v>
      </c>
      <c r="D85" s="4">
        <v>46034.22152777778</v>
      </c>
      <c r="E85" s="3">
        <v>99</v>
      </c>
      <c r="F85" s="3" t="s">
        <v>12</v>
      </c>
      <c r="G85" s="3" t="s">
        <v>10</v>
      </c>
      <c r="H85" s="3">
        <v>16</v>
      </c>
      <c r="I85" s="5">
        <f t="shared" si="1"/>
        <v>46034</v>
      </c>
      <c r="J85" s="3">
        <f>IF(COUNTIFS($C$2:C85,C85,$I$2:I85,I85)=1,1,0)</f>
        <v>1</v>
      </c>
    </row>
    <row r="86" spans="1:10" x14ac:dyDescent="0.3">
      <c r="A86" s="3" t="s">
        <v>99</v>
      </c>
      <c r="B86" s="3">
        <v>284</v>
      </c>
      <c r="C86" s="3">
        <v>19</v>
      </c>
      <c r="D86" s="4">
        <v>46031.043749999997</v>
      </c>
      <c r="E86" s="3">
        <v>99</v>
      </c>
      <c r="F86" s="3" t="s">
        <v>12</v>
      </c>
      <c r="G86" s="3" t="s">
        <v>10</v>
      </c>
      <c r="H86" s="3">
        <v>89</v>
      </c>
      <c r="I86" s="5">
        <f t="shared" si="1"/>
        <v>46031</v>
      </c>
      <c r="J86" s="3">
        <f>IF(COUNTIFS($C$2:C86,C86,$I$2:I86,I86)=1,1,0)</f>
        <v>1</v>
      </c>
    </row>
    <row r="87" spans="1:10" x14ac:dyDescent="0.3">
      <c r="A87" s="3" t="s">
        <v>100</v>
      </c>
      <c r="B87" s="3">
        <v>252</v>
      </c>
      <c r="C87" s="3">
        <v>7</v>
      </c>
      <c r="D87" s="4">
        <v>46027.871527777781</v>
      </c>
      <c r="E87" s="3">
        <v>2999</v>
      </c>
      <c r="F87" s="3" t="s">
        <v>9</v>
      </c>
      <c r="G87" s="3" t="s">
        <v>10</v>
      </c>
      <c r="H87" s="3">
        <v>1</v>
      </c>
      <c r="I87" s="5">
        <f t="shared" si="1"/>
        <v>46027</v>
      </c>
      <c r="J87" s="3">
        <f>IF(COUNTIFS($C$2:C87,C87,$I$2:I87,I87)=1,1,0)</f>
        <v>0</v>
      </c>
    </row>
    <row r="88" spans="1:10" x14ac:dyDescent="0.3">
      <c r="A88" s="3" t="s">
        <v>101</v>
      </c>
      <c r="B88" s="3">
        <v>246</v>
      </c>
      <c r="C88" s="3">
        <v>29</v>
      </c>
      <c r="D88" s="4">
        <v>46041.395833333336</v>
      </c>
      <c r="E88" s="3">
        <v>49</v>
      </c>
      <c r="F88" s="3" t="s">
        <v>9</v>
      </c>
      <c r="G88" s="3" t="s">
        <v>10</v>
      </c>
      <c r="H88" s="3">
        <v>43</v>
      </c>
      <c r="I88" s="5">
        <f t="shared" si="1"/>
        <v>46041</v>
      </c>
      <c r="J88" s="3">
        <f>IF(COUNTIFS($C$2:C88,C88,$I$2:I88,I88)=1,1,0)</f>
        <v>1</v>
      </c>
    </row>
    <row r="89" spans="1:10" x14ac:dyDescent="0.3">
      <c r="A89" s="3" t="s">
        <v>102</v>
      </c>
      <c r="B89" s="3">
        <v>245</v>
      </c>
      <c r="C89" s="3">
        <v>8</v>
      </c>
      <c r="D89" s="4">
        <v>46028.052777777775</v>
      </c>
      <c r="E89" s="3">
        <v>49</v>
      </c>
      <c r="F89" s="3" t="s">
        <v>12</v>
      </c>
      <c r="G89" s="3" t="s">
        <v>38</v>
      </c>
      <c r="H89" s="3">
        <v>8</v>
      </c>
      <c r="I89" s="5">
        <f t="shared" si="1"/>
        <v>46028</v>
      </c>
      <c r="J89" s="3">
        <f>IF(COUNTIFS($C$2:C89,C89,$I$2:I89,I89)=1,1,0)</f>
        <v>1</v>
      </c>
    </row>
    <row r="90" spans="1:10" x14ac:dyDescent="0.3">
      <c r="A90" s="3" t="s">
        <v>103</v>
      </c>
      <c r="B90" s="3">
        <v>296</v>
      </c>
      <c r="C90" s="3">
        <v>4</v>
      </c>
      <c r="D90" s="4">
        <v>46035.62777777778</v>
      </c>
      <c r="E90" s="3">
        <v>799</v>
      </c>
      <c r="F90" s="3" t="s">
        <v>9</v>
      </c>
      <c r="G90" s="3" t="s">
        <v>10</v>
      </c>
      <c r="H90" s="3">
        <v>19</v>
      </c>
      <c r="I90" s="5">
        <f t="shared" si="1"/>
        <v>46035</v>
      </c>
      <c r="J90" s="3">
        <f>IF(COUNTIFS($C$2:C90,C90,$I$2:I90,I90)=1,1,0)</f>
        <v>1</v>
      </c>
    </row>
    <row r="91" spans="1:10" x14ac:dyDescent="0.3">
      <c r="A91" s="3" t="s">
        <v>104</v>
      </c>
      <c r="B91" s="3">
        <v>44</v>
      </c>
      <c r="C91" s="3">
        <v>16</v>
      </c>
      <c r="D91" s="4">
        <v>46027.763194444444</v>
      </c>
      <c r="E91" s="3">
        <v>149</v>
      </c>
      <c r="F91" s="3" t="s">
        <v>12</v>
      </c>
      <c r="G91" s="3" t="s">
        <v>10</v>
      </c>
      <c r="H91" s="3">
        <v>15</v>
      </c>
      <c r="I91" s="5">
        <f t="shared" si="1"/>
        <v>46027</v>
      </c>
      <c r="J91" s="3">
        <f>IF(COUNTIFS($C$2:C91,C91,$I$2:I91,I91)=1,1,0)</f>
        <v>1</v>
      </c>
    </row>
    <row r="92" spans="1:10" x14ac:dyDescent="0.3">
      <c r="A92" s="3" t="s">
        <v>105</v>
      </c>
      <c r="B92" s="3">
        <v>306</v>
      </c>
      <c r="C92" s="3">
        <v>40</v>
      </c>
      <c r="D92" s="4">
        <v>46040.568055555559</v>
      </c>
      <c r="E92" s="3">
        <v>799</v>
      </c>
      <c r="F92" s="3" t="s">
        <v>24</v>
      </c>
      <c r="G92" s="3" t="s">
        <v>10</v>
      </c>
      <c r="H92" s="3">
        <v>28</v>
      </c>
      <c r="I92" s="5">
        <f t="shared" si="1"/>
        <v>46040</v>
      </c>
      <c r="J92" s="3">
        <f>IF(COUNTIFS($C$2:C92,C92,$I$2:I92,I92)=1,1,0)</f>
        <v>1</v>
      </c>
    </row>
    <row r="93" spans="1:10" x14ac:dyDescent="0.3">
      <c r="A93" s="3" t="s">
        <v>106</v>
      </c>
      <c r="B93" s="3">
        <v>231</v>
      </c>
      <c r="C93" s="3">
        <v>29</v>
      </c>
      <c r="D93" s="4">
        <v>46047.683333333334</v>
      </c>
      <c r="E93" s="3">
        <v>299</v>
      </c>
      <c r="F93" s="3" t="s">
        <v>12</v>
      </c>
      <c r="G93" s="3" t="s">
        <v>10</v>
      </c>
      <c r="H93" s="3">
        <v>38</v>
      </c>
      <c r="I93" s="5">
        <f t="shared" si="1"/>
        <v>46047</v>
      </c>
      <c r="J93" s="3">
        <f>IF(COUNTIFS($C$2:C93,C93,$I$2:I93,I93)=1,1,0)</f>
        <v>1</v>
      </c>
    </row>
    <row r="94" spans="1:10" x14ac:dyDescent="0.3">
      <c r="A94" s="3" t="s">
        <v>107</v>
      </c>
      <c r="B94" s="3">
        <v>157</v>
      </c>
      <c r="C94" s="3">
        <v>37</v>
      </c>
      <c r="D94" s="4">
        <v>46050.768750000003</v>
      </c>
      <c r="E94" s="3">
        <v>499</v>
      </c>
      <c r="F94" s="3" t="s">
        <v>9</v>
      </c>
      <c r="G94" s="3" t="s">
        <v>10</v>
      </c>
      <c r="H94" s="3">
        <v>79</v>
      </c>
      <c r="I94" s="5">
        <f t="shared" si="1"/>
        <v>46050</v>
      </c>
      <c r="J94" s="3">
        <f>IF(COUNTIFS($C$2:C94,C94,$I$2:I94,I94)=1,1,0)</f>
        <v>0</v>
      </c>
    </row>
    <row r="95" spans="1:10" x14ac:dyDescent="0.3">
      <c r="A95" s="3" t="s">
        <v>108</v>
      </c>
      <c r="B95" s="3">
        <v>51</v>
      </c>
      <c r="C95" s="3">
        <v>14</v>
      </c>
      <c r="D95" s="4">
        <v>46024.824305555558</v>
      </c>
      <c r="E95" s="3">
        <v>1499</v>
      </c>
      <c r="F95" s="3" t="s">
        <v>12</v>
      </c>
      <c r="G95" s="3" t="s">
        <v>10</v>
      </c>
      <c r="H95" s="3">
        <v>80</v>
      </c>
      <c r="I95" s="5">
        <f t="shared" si="1"/>
        <v>46024</v>
      </c>
      <c r="J95" s="3">
        <f>IF(COUNTIFS($C$2:C95,C95,$I$2:I95,I95)=1,1,0)</f>
        <v>1</v>
      </c>
    </row>
    <row r="96" spans="1:10" x14ac:dyDescent="0.3">
      <c r="A96" s="3" t="s">
        <v>109</v>
      </c>
      <c r="B96" s="3">
        <v>42</v>
      </c>
      <c r="C96" s="3">
        <v>11</v>
      </c>
      <c r="D96" s="4">
        <v>46029.362500000003</v>
      </c>
      <c r="E96" s="3">
        <v>49</v>
      </c>
      <c r="F96" s="3" t="s">
        <v>9</v>
      </c>
      <c r="G96" s="3" t="s">
        <v>10</v>
      </c>
      <c r="H96" s="3">
        <v>30</v>
      </c>
      <c r="I96" s="5">
        <f t="shared" si="1"/>
        <v>46029</v>
      </c>
      <c r="J96" s="3">
        <f>IF(COUNTIFS($C$2:C96,C96,$I$2:I96,I96)=1,1,0)</f>
        <v>1</v>
      </c>
    </row>
    <row r="97" spans="1:10" x14ac:dyDescent="0.3">
      <c r="A97" s="3" t="s">
        <v>110</v>
      </c>
      <c r="B97" s="3">
        <v>81</v>
      </c>
      <c r="C97" s="3">
        <v>1</v>
      </c>
      <c r="D97" s="4">
        <v>46028.711111111108</v>
      </c>
      <c r="E97" s="3">
        <v>149</v>
      </c>
      <c r="F97" s="3" t="s">
        <v>12</v>
      </c>
      <c r="G97" s="3" t="s">
        <v>10</v>
      </c>
      <c r="H97" s="3">
        <v>52</v>
      </c>
      <c r="I97" s="5">
        <f t="shared" si="1"/>
        <v>46028</v>
      </c>
      <c r="J97" s="3">
        <f>IF(COUNTIFS($C$2:C97,C97,$I$2:I97,I97)=1,1,0)</f>
        <v>1</v>
      </c>
    </row>
    <row r="98" spans="1:10" x14ac:dyDescent="0.3">
      <c r="A98" s="3" t="s">
        <v>111</v>
      </c>
      <c r="B98" s="3">
        <v>241</v>
      </c>
      <c r="C98" s="3">
        <v>19</v>
      </c>
      <c r="D98" s="4">
        <v>46037.943055555559</v>
      </c>
      <c r="E98" s="3">
        <v>299</v>
      </c>
      <c r="F98" s="3" t="s">
        <v>12</v>
      </c>
      <c r="G98" s="3" t="s">
        <v>10</v>
      </c>
      <c r="H98" s="3">
        <v>4</v>
      </c>
      <c r="I98" s="5">
        <f t="shared" si="1"/>
        <v>46037</v>
      </c>
      <c r="J98" s="3">
        <f>IF(COUNTIFS($C$2:C98,C98,$I$2:I98,I98)=1,1,0)</f>
        <v>1</v>
      </c>
    </row>
    <row r="99" spans="1:10" x14ac:dyDescent="0.3">
      <c r="A99" s="3" t="s">
        <v>112</v>
      </c>
      <c r="B99" s="3">
        <v>145</v>
      </c>
      <c r="C99" s="3">
        <v>30</v>
      </c>
      <c r="D99" s="4">
        <v>46030.40625</v>
      </c>
      <c r="E99" s="3">
        <v>799</v>
      </c>
      <c r="F99" s="3" t="s">
        <v>12</v>
      </c>
      <c r="G99" s="3" t="s">
        <v>10</v>
      </c>
      <c r="H99" s="3">
        <v>9</v>
      </c>
      <c r="I99" s="5">
        <f t="shared" si="1"/>
        <v>46030</v>
      </c>
      <c r="J99" s="3">
        <f>IF(COUNTIFS($C$2:C99,C99,$I$2:I99,I99)=1,1,0)</f>
        <v>1</v>
      </c>
    </row>
    <row r="100" spans="1:10" x14ac:dyDescent="0.3">
      <c r="A100" s="3" t="s">
        <v>113</v>
      </c>
      <c r="B100" s="3">
        <v>136</v>
      </c>
      <c r="C100" s="3">
        <v>38</v>
      </c>
      <c r="D100" s="4">
        <v>46044.332638888889</v>
      </c>
      <c r="E100" s="3">
        <v>299</v>
      </c>
      <c r="F100" s="3" t="s">
        <v>24</v>
      </c>
      <c r="G100" s="3" t="s">
        <v>10</v>
      </c>
      <c r="H100" s="3">
        <v>84</v>
      </c>
      <c r="I100" s="5">
        <f t="shared" si="1"/>
        <v>46044</v>
      </c>
      <c r="J100" s="3">
        <f>IF(COUNTIFS($C$2:C100,C100,$I$2:I100,I100)=1,1,0)</f>
        <v>1</v>
      </c>
    </row>
    <row r="101" spans="1:10" x14ac:dyDescent="0.3">
      <c r="A101" s="3" t="s">
        <v>114</v>
      </c>
      <c r="B101" s="3">
        <v>59</v>
      </c>
      <c r="C101" s="3">
        <v>35</v>
      </c>
      <c r="D101" s="4">
        <v>46048.268750000003</v>
      </c>
      <c r="E101" s="3">
        <v>499</v>
      </c>
      <c r="F101" s="3" t="s">
        <v>12</v>
      </c>
      <c r="G101" s="3" t="s">
        <v>10</v>
      </c>
      <c r="H101" s="3">
        <v>28</v>
      </c>
      <c r="I101" s="5">
        <f t="shared" si="1"/>
        <v>46048</v>
      </c>
      <c r="J101" s="3">
        <f>IF(COUNTIFS($C$2:C101,C101,$I$2:I101,I101)=1,1,0)</f>
        <v>1</v>
      </c>
    </row>
    <row r="102" spans="1:10" x14ac:dyDescent="0.3">
      <c r="A102" s="3" t="s">
        <v>115</v>
      </c>
      <c r="B102" s="3">
        <v>137</v>
      </c>
      <c r="C102" s="3">
        <v>10</v>
      </c>
      <c r="D102" s="4">
        <v>46043.206944444442</v>
      </c>
      <c r="E102" s="3">
        <v>299</v>
      </c>
      <c r="F102" s="3" t="s">
        <v>12</v>
      </c>
      <c r="G102" s="3" t="s">
        <v>10</v>
      </c>
      <c r="H102" s="3">
        <v>9</v>
      </c>
      <c r="I102" s="5">
        <f t="shared" si="1"/>
        <v>46043</v>
      </c>
      <c r="J102" s="3">
        <f>IF(COUNTIFS($C$2:C102,C102,$I$2:I102,I102)=1,1,0)</f>
        <v>1</v>
      </c>
    </row>
    <row r="103" spans="1:10" x14ac:dyDescent="0.3">
      <c r="A103" s="3" t="s">
        <v>116</v>
      </c>
      <c r="B103" s="3">
        <v>158</v>
      </c>
      <c r="C103" s="3">
        <v>39</v>
      </c>
      <c r="D103" s="4">
        <v>46024.243055555555</v>
      </c>
      <c r="E103" s="3">
        <v>499</v>
      </c>
      <c r="F103" s="3" t="s">
        <v>15</v>
      </c>
      <c r="G103" s="3" t="s">
        <v>10</v>
      </c>
      <c r="H103" s="3">
        <v>95</v>
      </c>
      <c r="I103" s="5">
        <f t="shared" si="1"/>
        <v>46024</v>
      </c>
      <c r="J103" s="3">
        <f>IF(COUNTIFS($C$2:C103,C103,$I$2:I103,I103)=1,1,0)</f>
        <v>1</v>
      </c>
    </row>
    <row r="104" spans="1:10" x14ac:dyDescent="0.3">
      <c r="A104" s="3" t="s">
        <v>117</v>
      </c>
      <c r="B104" s="3">
        <v>148</v>
      </c>
      <c r="C104" s="3">
        <v>29</v>
      </c>
      <c r="D104" s="4">
        <v>46049.790277777778</v>
      </c>
      <c r="E104" s="3">
        <v>99</v>
      </c>
      <c r="F104" s="3" t="s">
        <v>24</v>
      </c>
      <c r="G104" s="3" t="s">
        <v>10</v>
      </c>
      <c r="H104" s="3">
        <v>15</v>
      </c>
      <c r="I104" s="5">
        <f t="shared" si="1"/>
        <v>46049</v>
      </c>
      <c r="J104" s="3">
        <f>IF(COUNTIFS($C$2:C104,C104,$I$2:I104,I104)=1,1,0)</f>
        <v>1</v>
      </c>
    </row>
    <row r="105" spans="1:10" x14ac:dyDescent="0.3">
      <c r="A105" s="3" t="s">
        <v>118</v>
      </c>
      <c r="B105" s="3">
        <v>207</v>
      </c>
      <c r="C105" s="3">
        <v>18</v>
      </c>
      <c r="D105" s="4">
        <v>46037.929861111108</v>
      </c>
      <c r="E105" s="3">
        <v>149</v>
      </c>
      <c r="F105" s="3" t="s">
        <v>12</v>
      </c>
      <c r="G105" s="3" t="s">
        <v>10</v>
      </c>
      <c r="H105" s="3">
        <v>64</v>
      </c>
      <c r="I105" s="5">
        <f t="shared" si="1"/>
        <v>46037</v>
      </c>
      <c r="J105" s="3">
        <f>IF(COUNTIFS($C$2:C105,C105,$I$2:I105,I105)=1,1,0)</f>
        <v>1</v>
      </c>
    </row>
    <row r="106" spans="1:10" x14ac:dyDescent="0.3">
      <c r="A106" s="3" t="s">
        <v>119</v>
      </c>
      <c r="B106" s="3">
        <v>42</v>
      </c>
      <c r="C106" s="3">
        <v>39</v>
      </c>
      <c r="D106" s="4">
        <v>46040.644444444442</v>
      </c>
      <c r="E106" s="3">
        <v>2999</v>
      </c>
      <c r="F106" s="3" t="s">
        <v>24</v>
      </c>
      <c r="G106" s="3" t="s">
        <v>10</v>
      </c>
      <c r="H106" s="3">
        <v>5</v>
      </c>
      <c r="I106" s="5">
        <f t="shared" si="1"/>
        <v>46040</v>
      </c>
      <c r="J106" s="3">
        <f>IF(COUNTIFS($C$2:C106,C106,$I$2:I106,I106)=1,1,0)</f>
        <v>1</v>
      </c>
    </row>
    <row r="107" spans="1:10" x14ac:dyDescent="0.3">
      <c r="A107" s="3" t="s">
        <v>120</v>
      </c>
      <c r="B107" s="3">
        <v>166</v>
      </c>
      <c r="C107" s="3">
        <v>39</v>
      </c>
      <c r="D107" s="4">
        <v>46051.574305555558</v>
      </c>
      <c r="E107" s="3">
        <v>149</v>
      </c>
      <c r="F107" s="3" t="s">
        <v>12</v>
      </c>
      <c r="G107" s="3" t="s">
        <v>10</v>
      </c>
      <c r="H107" s="3">
        <v>32</v>
      </c>
      <c r="I107" s="5">
        <f t="shared" si="1"/>
        <v>46051</v>
      </c>
      <c r="J107" s="3">
        <f>IF(COUNTIFS($C$2:C107,C107,$I$2:I107,I107)=1,1,0)</f>
        <v>1</v>
      </c>
    </row>
    <row r="108" spans="1:10" x14ac:dyDescent="0.3">
      <c r="A108" s="3" t="s">
        <v>121</v>
      </c>
      <c r="B108" s="3">
        <v>346</v>
      </c>
      <c r="C108" s="3">
        <v>37</v>
      </c>
      <c r="D108" s="4">
        <v>46023.093055555553</v>
      </c>
      <c r="E108" s="3">
        <v>99</v>
      </c>
      <c r="F108" s="3" t="s">
        <v>12</v>
      </c>
      <c r="G108" s="3" t="s">
        <v>10</v>
      </c>
      <c r="H108" s="3">
        <v>75</v>
      </c>
      <c r="I108" s="5">
        <f t="shared" si="1"/>
        <v>46023</v>
      </c>
      <c r="J108" s="3">
        <f>IF(COUNTIFS($C$2:C108,C108,$I$2:I108,I108)=1,1,0)</f>
        <v>1</v>
      </c>
    </row>
    <row r="109" spans="1:10" x14ac:dyDescent="0.3">
      <c r="A109" s="3" t="s">
        <v>122</v>
      </c>
      <c r="B109" s="3">
        <v>138</v>
      </c>
      <c r="C109" s="3">
        <v>37</v>
      </c>
      <c r="D109" s="4">
        <v>46023.911111111112</v>
      </c>
      <c r="E109" s="3">
        <v>499</v>
      </c>
      <c r="F109" s="3" t="s">
        <v>12</v>
      </c>
      <c r="G109" s="3" t="s">
        <v>10</v>
      </c>
      <c r="H109" s="3">
        <v>5</v>
      </c>
      <c r="I109" s="5">
        <f t="shared" si="1"/>
        <v>46023</v>
      </c>
      <c r="J109" s="3">
        <f>IF(COUNTIFS($C$2:C109,C109,$I$2:I109,I109)=1,1,0)</f>
        <v>0</v>
      </c>
    </row>
    <row r="110" spans="1:10" x14ac:dyDescent="0.3">
      <c r="A110" s="3" t="s">
        <v>123</v>
      </c>
      <c r="B110" s="3">
        <v>266</v>
      </c>
      <c r="C110" s="3">
        <v>29</v>
      </c>
      <c r="D110" s="4">
        <v>46047.229166666664</v>
      </c>
      <c r="E110" s="3">
        <v>499</v>
      </c>
      <c r="F110" s="3" t="s">
        <v>9</v>
      </c>
      <c r="G110" s="3" t="s">
        <v>25</v>
      </c>
      <c r="H110" s="3">
        <v>35</v>
      </c>
      <c r="I110" s="5">
        <f t="shared" si="1"/>
        <v>46047</v>
      </c>
      <c r="J110" s="3">
        <f>IF(COUNTIFS($C$2:C110,C110,$I$2:I110,I110)=1,1,0)</f>
        <v>0</v>
      </c>
    </row>
    <row r="111" spans="1:10" x14ac:dyDescent="0.3">
      <c r="A111" s="3" t="s">
        <v>124</v>
      </c>
      <c r="B111" s="3">
        <v>326</v>
      </c>
      <c r="C111" s="3">
        <v>32</v>
      </c>
      <c r="D111" s="4">
        <v>46028.768750000003</v>
      </c>
      <c r="E111" s="3">
        <v>149</v>
      </c>
      <c r="F111" s="3" t="s">
        <v>12</v>
      </c>
      <c r="G111" s="3" t="s">
        <v>10</v>
      </c>
      <c r="H111" s="3">
        <v>11</v>
      </c>
      <c r="I111" s="5">
        <f t="shared" si="1"/>
        <v>46028</v>
      </c>
      <c r="J111" s="3">
        <f>IF(COUNTIFS($C$2:C111,C111,$I$2:I111,I111)=1,1,0)</f>
        <v>1</v>
      </c>
    </row>
    <row r="112" spans="1:10" x14ac:dyDescent="0.3">
      <c r="A112" s="3" t="s">
        <v>125</v>
      </c>
      <c r="B112" s="3">
        <v>171</v>
      </c>
      <c r="C112" s="3">
        <v>21</v>
      </c>
      <c r="D112" s="4">
        <v>46038.476388888892</v>
      </c>
      <c r="E112" s="3">
        <v>799</v>
      </c>
      <c r="F112" s="3" t="s">
        <v>12</v>
      </c>
      <c r="G112" s="3" t="s">
        <v>10</v>
      </c>
      <c r="H112" s="3">
        <v>85</v>
      </c>
      <c r="I112" s="5">
        <f t="shared" si="1"/>
        <v>46038</v>
      </c>
      <c r="J112" s="3">
        <f>IF(COUNTIFS($C$2:C112,C112,$I$2:I112,I112)=1,1,0)</f>
        <v>1</v>
      </c>
    </row>
    <row r="113" spans="1:10" x14ac:dyDescent="0.3">
      <c r="A113" s="3" t="s">
        <v>126</v>
      </c>
      <c r="B113" s="3">
        <v>211</v>
      </c>
      <c r="C113" s="3">
        <v>32</v>
      </c>
      <c r="D113" s="4">
        <v>46026.222916666666</v>
      </c>
      <c r="E113" s="3">
        <v>49</v>
      </c>
      <c r="F113" s="3" t="s">
        <v>12</v>
      </c>
      <c r="G113" s="3" t="s">
        <v>10</v>
      </c>
      <c r="H113" s="3">
        <v>36</v>
      </c>
      <c r="I113" s="5">
        <f t="shared" si="1"/>
        <v>46026</v>
      </c>
      <c r="J113" s="3">
        <f>IF(COUNTIFS($C$2:C113,C113,$I$2:I113,I113)=1,1,0)</f>
        <v>1</v>
      </c>
    </row>
    <row r="114" spans="1:10" x14ac:dyDescent="0.3">
      <c r="A114" s="3" t="s">
        <v>127</v>
      </c>
      <c r="B114" s="3">
        <v>282</v>
      </c>
      <c r="C114" s="3">
        <v>3</v>
      </c>
      <c r="D114" s="4">
        <v>46044.536111111112</v>
      </c>
      <c r="E114" s="3">
        <v>499</v>
      </c>
      <c r="F114" s="3" t="s">
        <v>12</v>
      </c>
      <c r="G114" s="3" t="s">
        <v>10</v>
      </c>
      <c r="H114" s="3">
        <v>58</v>
      </c>
      <c r="I114" s="5">
        <f t="shared" si="1"/>
        <v>46044</v>
      </c>
      <c r="J114" s="3">
        <f>IF(COUNTIFS($C$2:C114,C114,$I$2:I114,I114)=1,1,0)</f>
        <v>1</v>
      </c>
    </row>
    <row r="115" spans="1:10" x14ac:dyDescent="0.3">
      <c r="A115" s="3" t="s">
        <v>128</v>
      </c>
      <c r="B115" s="3">
        <v>166</v>
      </c>
      <c r="C115" s="3">
        <v>8</v>
      </c>
      <c r="D115" s="4">
        <v>46025.427777777775</v>
      </c>
      <c r="E115" s="3">
        <v>299</v>
      </c>
      <c r="F115" s="3" t="s">
        <v>12</v>
      </c>
      <c r="G115" s="3" t="s">
        <v>10</v>
      </c>
      <c r="H115" s="3">
        <v>98</v>
      </c>
      <c r="I115" s="5">
        <f t="shared" si="1"/>
        <v>46025</v>
      </c>
      <c r="J115" s="3">
        <f>IF(COUNTIFS($C$2:C115,C115,$I$2:I115,I115)=1,1,0)</f>
        <v>1</v>
      </c>
    </row>
    <row r="116" spans="1:10" x14ac:dyDescent="0.3">
      <c r="A116" s="3" t="s">
        <v>129</v>
      </c>
      <c r="B116" s="3">
        <v>1</v>
      </c>
      <c r="C116" s="3">
        <v>35</v>
      </c>
      <c r="D116" s="4">
        <v>46035.702777777777</v>
      </c>
      <c r="E116" s="3">
        <v>149</v>
      </c>
      <c r="F116" s="3" t="s">
        <v>12</v>
      </c>
      <c r="G116" s="3" t="s">
        <v>10</v>
      </c>
      <c r="H116" s="3">
        <v>59</v>
      </c>
      <c r="I116" s="5">
        <f t="shared" si="1"/>
        <v>46035</v>
      </c>
      <c r="J116" s="3">
        <f>IF(COUNTIFS($C$2:C116,C116,$I$2:I116,I116)=1,1,0)</f>
        <v>1</v>
      </c>
    </row>
    <row r="117" spans="1:10" x14ac:dyDescent="0.3">
      <c r="A117" s="3" t="s">
        <v>130</v>
      </c>
      <c r="B117" s="3">
        <v>266</v>
      </c>
      <c r="C117" s="3">
        <v>24</v>
      </c>
      <c r="D117" s="4">
        <v>46036.05</v>
      </c>
      <c r="E117" s="3">
        <v>499</v>
      </c>
      <c r="F117" s="3" t="s">
        <v>12</v>
      </c>
      <c r="G117" s="3" t="s">
        <v>10</v>
      </c>
      <c r="H117" s="3">
        <v>79</v>
      </c>
      <c r="I117" s="5">
        <f t="shared" si="1"/>
        <v>46036</v>
      </c>
      <c r="J117" s="3">
        <f>IF(COUNTIFS($C$2:C117,C117,$I$2:I117,I117)=1,1,0)</f>
        <v>1</v>
      </c>
    </row>
    <row r="118" spans="1:10" x14ac:dyDescent="0.3">
      <c r="A118" s="3" t="s">
        <v>131</v>
      </c>
      <c r="B118" s="3">
        <v>227</v>
      </c>
      <c r="C118" s="3">
        <v>4</v>
      </c>
      <c r="D118" s="4">
        <v>46047.652777777781</v>
      </c>
      <c r="E118" s="3">
        <v>499</v>
      </c>
      <c r="F118" s="3" t="s">
        <v>12</v>
      </c>
      <c r="G118" s="3" t="s">
        <v>10</v>
      </c>
      <c r="H118" s="3">
        <v>26</v>
      </c>
      <c r="I118" s="5">
        <f t="shared" si="1"/>
        <v>46047</v>
      </c>
      <c r="J118" s="3">
        <f>IF(COUNTIFS($C$2:C118,C118,$I$2:I118,I118)=1,1,0)</f>
        <v>1</v>
      </c>
    </row>
    <row r="119" spans="1:10" x14ac:dyDescent="0.3">
      <c r="A119" s="3" t="s">
        <v>132</v>
      </c>
      <c r="B119" s="3">
        <v>148</v>
      </c>
      <c r="C119" s="3">
        <v>29</v>
      </c>
      <c r="D119" s="4">
        <v>46031.713888888888</v>
      </c>
      <c r="E119" s="3">
        <v>499</v>
      </c>
      <c r="F119" s="3" t="s">
        <v>12</v>
      </c>
      <c r="G119" s="3" t="s">
        <v>10</v>
      </c>
      <c r="H119" s="3">
        <v>89</v>
      </c>
      <c r="I119" s="5">
        <f t="shared" si="1"/>
        <v>46031</v>
      </c>
      <c r="J119" s="3">
        <f>IF(COUNTIFS($C$2:C119,C119,$I$2:I119,I119)=1,1,0)</f>
        <v>1</v>
      </c>
    </row>
    <row r="120" spans="1:10" x14ac:dyDescent="0.3">
      <c r="A120" s="3" t="s">
        <v>133</v>
      </c>
      <c r="B120" s="3">
        <v>323</v>
      </c>
      <c r="C120" s="3">
        <v>39</v>
      </c>
      <c r="D120" s="4">
        <v>46038.125694444447</v>
      </c>
      <c r="E120" s="3">
        <v>499</v>
      </c>
      <c r="F120" s="3" t="s">
        <v>12</v>
      </c>
      <c r="G120" s="3" t="s">
        <v>10</v>
      </c>
      <c r="H120" s="3">
        <v>30</v>
      </c>
      <c r="I120" s="5">
        <f t="shared" si="1"/>
        <v>46038</v>
      </c>
      <c r="J120" s="3">
        <f>IF(COUNTIFS($C$2:C120,C120,$I$2:I120,I120)=1,1,0)</f>
        <v>1</v>
      </c>
    </row>
    <row r="121" spans="1:10" x14ac:dyDescent="0.3">
      <c r="A121" s="3" t="s">
        <v>134</v>
      </c>
      <c r="B121" s="3">
        <v>283</v>
      </c>
      <c r="C121" s="3">
        <v>1</v>
      </c>
      <c r="D121" s="4">
        <v>46045.22152777778</v>
      </c>
      <c r="E121" s="3">
        <v>2999</v>
      </c>
      <c r="F121" s="3" t="s">
        <v>9</v>
      </c>
      <c r="G121" s="3" t="s">
        <v>10</v>
      </c>
      <c r="H121" s="3">
        <v>70</v>
      </c>
      <c r="I121" s="5">
        <f t="shared" si="1"/>
        <v>46045</v>
      </c>
      <c r="J121" s="3">
        <f>IF(COUNTIFS($C$2:C121,C121,$I$2:I121,I121)=1,1,0)</f>
        <v>1</v>
      </c>
    </row>
    <row r="122" spans="1:10" x14ac:dyDescent="0.3">
      <c r="A122" s="3" t="s">
        <v>135</v>
      </c>
      <c r="B122" s="3">
        <v>59</v>
      </c>
      <c r="C122" s="3">
        <v>30</v>
      </c>
      <c r="D122" s="4">
        <v>46036.093055555553</v>
      </c>
      <c r="E122" s="3">
        <v>499</v>
      </c>
      <c r="F122" s="3" t="s">
        <v>12</v>
      </c>
      <c r="G122" s="3" t="s">
        <v>10</v>
      </c>
      <c r="H122" s="3">
        <v>15</v>
      </c>
      <c r="I122" s="5">
        <f t="shared" si="1"/>
        <v>46036</v>
      </c>
      <c r="J122" s="3">
        <f>IF(COUNTIFS($C$2:C122,C122,$I$2:I122,I122)=1,1,0)</f>
        <v>0</v>
      </c>
    </row>
    <row r="123" spans="1:10" x14ac:dyDescent="0.3">
      <c r="A123" s="3" t="s">
        <v>136</v>
      </c>
      <c r="B123" s="3">
        <v>150</v>
      </c>
      <c r="C123" s="3">
        <v>33</v>
      </c>
      <c r="D123" s="4">
        <v>46043.188194444447</v>
      </c>
      <c r="E123" s="3">
        <v>2999</v>
      </c>
      <c r="F123" s="3" t="s">
        <v>12</v>
      </c>
      <c r="G123" s="3" t="s">
        <v>10</v>
      </c>
      <c r="H123" s="3">
        <v>90</v>
      </c>
      <c r="I123" s="5">
        <f t="shared" si="1"/>
        <v>46043</v>
      </c>
      <c r="J123" s="3">
        <f>IF(COUNTIFS($C$2:C123,C123,$I$2:I123,I123)=1,1,0)</f>
        <v>1</v>
      </c>
    </row>
    <row r="124" spans="1:10" x14ac:dyDescent="0.3">
      <c r="A124" s="3" t="s">
        <v>137</v>
      </c>
      <c r="B124" s="3">
        <v>248</v>
      </c>
      <c r="C124" s="3">
        <v>31</v>
      </c>
      <c r="D124" s="4">
        <v>46031.578472222223</v>
      </c>
      <c r="E124" s="3">
        <v>1499</v>
      </c>
      <c r="F124" s="3" t="s">
        <v>12</v>
      </c>
      <c r="G124" s="3" t="s">
        <v>25</v>
      </c>
      <c r="H124" s="3">
        <v>31</v>
      </c>
      <c r="I124" s="5">
        <f t="shared" si="1"/>
        <v>46031</v>
      </c>
      <c r="J124" s="3">
        <f>IF(COUNTIFS($C$2:C124,C124,$I$2:I124,I124)=1,1,0)</f>
        <v>1</v>
      </c>
    </row>
    <row r="125" spans="1:10" x14ac:dyDescent="0.3">
      <c r="A125" s="3" t="s">
        <v>138</v>
      </c>
      <c r="B125" s="3">
        <v>197</v>
      </c>
      <c r="C125" s="3">
        <v>13</v>
      </c>
      <c r="D125" s="4">
        <v>46037.714583333334</v>
      </c>
      <c r="E125" s="3">
        <v>49</v>
      </c>
      <c r="F125" s="3" t="s">
        <v>12</v>
      </c>
      <c r="G125" s="3" t="s">
        <v>10</v>
      </c>
      <c r="H125" s="3">
        <v>76</v>
      </c>
      <c r="I125" s="5">
        <f t="shared" si="1"/>
        <v>46037</v>
      </c>
      <c r="J125" s="3">
        <f>IF(COUNTIFS($C$2:C125,C125,$I$2:I125,I125)=1,1,0)</f>
        <v>1</v>
      </c>
    </row>
    <row r="126" spans="1:10" x14ac:dyDescent="0.3">
      <c r="A126" s="3" t="s">
        <v>139</v>
      </c>
      <c r="B126" s="3">
        <v>70</v>
      </c>
      <c r="C126" s="3">
        <v>5</v>
      </c>
      <c r="D126" s="4">
        <v>46039.99722222222</v>
      </c>
      <c r="E126" s="3">
        <v>499</v>
      </c>
      <c r="F126" s="3" t="s">
        <v>12</v>
      </c>
      <c r="G126" s="3" t="s">
        <v>10</v>
      </c>
      <c r="H126" s="3">
        <v>35</v>
      </c>
      <c r="I126" s="5">
        <f t="shared" si="1"/>
        <v>46039</v>
      </c>
      <c r="J126" s="3">
        <f>IF(COUNTIFS($C$2:C126,C126,$I$2:I126,I126)=1,1,0)</f>
        <v>1</v>
      </c>
    </row>
    <row r="127" spans="1:10" x14ac:dyDescent="0.3">
      <c r="A127" s="3" t="s">
        <v>140</v>
      </c>
      <c r="B127" s="3">
        <v>260</v>
      </c>
      <c r="C127" s="3">
        <v>18</v>
      </c>
      <c r="D127" s="4">
        <v>46047.556250000001</v>
      </c>
      <c r="E127" s="3">
        <v>1499</v>
      </c>
      <c r="F127" s="3" t="s">
        <v>12</v>
      </c>
      <c r="G127" s="3" t="s">
        <v>10</v>
      </c>
      <c r="H127" s="3">
        <v>0</v>
      </c>
      <c r="I127" s="5">
        <f t="shared" si="1"/>
        <v>46047</v>
      </c>
      <c r="J127" s="3">
        <f>IF(COUNTIFS($C$2:C127,C127,$I$2:I127,I127)=1,1,0)</f>
        <v>0</v>
      </c>
    </row>
    <row r="128" spans="1:10" x14ac:dyDescent="0.3">
      <c r="A128" s="3" t="s">
        <v>141</v>
      </c>
      <c r="B128" s="3">
        <v>301</v>
      </c>
      <c r="C128" s="3">
        <v>38</v>
      </c>
      <c r="D128" s="4">
        <v>46032.97152777778</v>
      </c>
      <c r="E128" s="3">
        <v>99</v>
      </c>
      <c r="F128" s="3" t="s">
        <v>12</v>
      </c>
      <c r="G128" s="3" t="s">
        <v>10</v>
      </c>
      <c r="H128" s="3">
        <v>84</v>
      </c>
      <c r="I128" s="5">
        <f t="shared" si="1"/>
        <v>46032</v>
      </c>
      <c r="J128" s="3">
        <f>IF(COUNTIFS($C$2:C128,C128,$I$2:I128,I128)=1,1,0)</f>
        <v>1</v>
      </c>
    </row>
    <row r="129" spans="1:10" x14ac:dyDescent="0.3">
      <c r="A129" s="3" t="s">
        <v>142</v>
      </c>
      <c r="B129" s="3">
        <v>276</v>
      </c>
      <c r="C129" s="3">
        <v>31</v>
      </c>
      <c r="D129" s="4">
        <v>46038.186111111114</v>
      </c>
      <c r="E129" s="3">
        <v>499</v>
      </c>
      <c r="F129" s="3" t="s">
        <v>24</v>
      </c>
      <c r="G129" s="3" t="s">
        <v>10</v>
      </c>
      <c r="H129" s="3">
        <v>44</v>
      </c>
      <c r="I129" s="5">
        <f t="shared" si="1"/>
        <v>46038</v>
      </c>
      <c r="J129" s="3">
        <f>IF(COUNTIFS($C$2:C129,C129,$I$2:I129,I129)=1,1,0)</f>
        <v>1</v>
      </c>
    </row>
    <row r="130" spans="1:10" x14ac:dyDescent="0.3">
      <c r="A130" s="3" t="s">
        <v>143</v>
      </c>
      <c r="B130" s="3">
        <v>279</v>
      </c>
      <c r="C130" s="3">
        <v>25</v>
      </c>
      <c r="D130" s="4">
        <v>46033.741666666669</v>
      </c>
      <c r="E130" s="3">
        <v>799</v>
      </c>
      <c r="F130" s="3" t="s">
        <v>12</v>
      </c>
      <c r="G130" s="3" t="s">
        <v>10</v>
      </c>
      <c r="H130" s="3">
        <v>58</v>
      </c>
      <c r="I130" s="5">
        <f t="shared" si="1"/>
        <v>46033</v>
      </c>
      <c r="J130" s="3">
        <f>IF(COUNTIFS($C$2:C130,C130,$I$2:I130,I130)=1,1,0)</f>
        <v>1</v>
      </c>
    </row>
    <row r="131" spans="1:10" x14ac:dyDescent="0.3">
      <c r="A131" s="3" t="s">
        <v>144</v>
      </c>
      <c r="B131" s="3">
        <v>97</v>
      </c>
      <c r="C131" s="3">
        <v>16</v>
      </c>
      <c r="D131" s="4">
        <v>46052.454861111109</v>
      </c>
      <c r="E131" s="3">
        <v>799</v>
      </c>
      <c r="F131" s="3" t="s">
        <v>24</v>
      </c>
      <c r="G131" s="3" t="s">
        <v>10</v>
      </c>
      <c r="H131" s="3">
        <v>73</v>
      </c>
      <c r="I131" s="5">
        <f t="shared" ref="I131:I194" si="2">INT(D131)</f>
        <v>46052</v>
      </c>
      <c r="J131" s="3">
        <f>IF(COUNTIFS($C$2:C131,C131,$I$2:I131,I131)=1,1,0)</f>
        <v>0</v>
      </c>
    </row>
    <row r="132" spans="1:10" x14ac:dyDescent="0.3">
      <c r="A132" s="3" t="s">
        <v>145</v>
      </c>
      <c r="B132" s="3">
        <v>211</v>
      </c>
      <c r="C132" s="3">
        <v>3</v>
      </c>
      <c r="D132" s="4">
        <v>46035.32916666667</v>
      </c>
      <c r="E132" s="3">
        <v>149</v>
      </c>
      <c r="F132" s="3" t="s">
        <v>12</v>
      </c>
      <c r="G132" s="3" t="s">
        <v>38</v>
      </c>
      <c r="H132" s="3">
        <v>40</v>
      </c>
      <c r="I132" s="5">
        <f t="shared" si="2"/>
        <v>46035</v>
      </c>
      <c r="J132" s="3">
        <f>IF(COUNTIFS($C$2:C132,C132,$I$2:I132,I132)=1,1,0)</f>
        <v>0</v>
      </c>
    </row>
    <row r="133" spans="1:10" x14ac:dyDescent="0.3">
      <c r="A133" s="3" t="s">
        <v>146</v>
      </c>
      <c r="B133" s="3">
        <v>196</v>
      </c>
      <c r="C133" s="3">
        <v>25</v>
      </c>
      <c r="D133" s="4">
        <v>46046.65625</v>
      </c>
      <c r="E133" s="3">
        <v>149</v>
      </c>
      <c r="F133" s="3" t="s">
        <v>15</v>
      </c>
      <c r="G133" s="3" t="s">
        <v>10</v>
      </c>
      <c r="H133" s="3">
        <v>84</v>
      </c>
      <c r="I133" s="5">
        <f t="shared" si="2"/>
        <v>46046</v>
      </c>
      <c r="J133" s="3">
        <f>IF(COUNTIFS($C$2:C133,C133,$I$2:I133,I133)=1,1,0)</f>
        <v>1</v>
      </c>
    </row>
    <row r="134" spans="1:10" x14ac:dyDescent="0.3">
      <c r="A134" s="3" t="s">
        <v>147</v>
      </c>
      <c r="B134" s="3">
        <v>254</v>
      </c>
      <c r="C134" s="3">
        <v>3</v>
      </c>
      <c r="D134" s="4">
        <v>46048.839583333334</v>
      </c>
      <c r="E134" s="3">
        <v>149</v>
      </c>
      <c r="F134" s="3" t="s">
        <v>24</v>
      </c>
      <c r="G134" s="3" t="s">
        <v>10</v>
      </c>
      <c r="H134" s="3">
        <v>16</v>
      </c>
      <c r="I134" s="5">
        <f t="shared" si="2"/>
        <v>46048</v>
      </c>
      <c r="J134" s="3">
        <f>IF(COUNTIFS($C$2:C134,C134,$I$2:I134,I134)=1,1,0)</f>
        <v>1</v>
      </c>
    </row>
    <row r="135" spans="1:10" x14ac:dyDescent="0.3">
      <c r="A135" s="3" t="s">
        <v>148</v>
      </c>
      <c r="B135" s="3">
        <v>52</v>
      </c>
      <c r="C135" s="3">
        <v>29</v>
      </c>
      <c r="D135" s="4">
        <v>46039.76458333333</v>
      </c>
      <c r="E135" s="3">
        <v>49</v>
      </c>
      <c r="F135" s="3" t="s">
        <v>15</v>
      </c>
      <c r="G135" s="3" t="s">
        <v>10</v>
      </c>
      <c r="H135" s="3">
        <v>12</v>
      </c>
      <c r="I135" s="5">
        <f t="shared" si="2"/>
        <v>46039</v>
      </c>
      <c r="J135" s="3">
        <f>IF(COUNTIFS($C$2:C135,C135,$I$2:I135,I135)=1,1,0)</f>
        <v>1</v>
      </c>
    </row>
    <row r="136" spans="1:10" x14ac:dyDescent="0.3">
      <c r="A136" s="3" t="s">
        <v>149</v>
      </c>
      <c r="B136" s="3">
        <v>74</v>
      </c>
      <c r="C136" s="3">
        <v>27</v>
      </c>
      <c r="D136" s="4">
        <v>46039.583333333336</v>
      </c>
      <c r="E136" s="3">
        <v>799</v>
      </c>
      <c r="F136" s="3" t="s">
        <v>12</v>
      </c>
      <c r="G136" s="3" t="s">
        <v>10</v>
      </c>
      <c r="H136" s="3">
        <v>83</v>
      </c>
      <c r="I136" s="5">
        <f t="shared" si="2"/>
        <v>46039</v>
      </c>
      <c r="J136" s="3">
        <f>IF(COUNTIFS($C$2:C136,C136,$I$2:I136,I136)=1,1,0)</f>
        <v>0</v>
      </c>
    </row>
    <row r="137" spans="1:10" x14ac:dyDescent="0.3">
      <c r="A137" s="3" t="s">
        <v>150</v>
      </c>
      <c r="B137" s="3">
        <v>136</v>
      </c>
      <c r="C137" s="3">
        <v>22</v>
      </c>
      <c r="D137" s="4">
        <v>46027.104166666664</v>
      </c>
      <c r="E137" s="3">
        <v>149</v>
      </c>
      <c r="F137" s="3" t="s">
        <v>12</v>
      </c>
      <c r="G137" s="3" t="s">
        <v>10</v>
      </c>
      <c r="H137" s="3">
        <v>79</v>
      </c>
      <c r="I137" s="5">
        <f t="shared" si="2"/>
        <v>46027</v>
      </c>
      <c r="J137" s="3">
        <f>IF(COUNTIFS($C$2:C137,C137,$I$2:I137,I137)=1,1,0)</f>
        <v>1</v>
      </c>
    </row>
    <row r="138" spans="1:10" x14ac:dyDescent="0.3">
      <c r="A138" s="3" t="s">
        <v>151</v>
      </c>
      <c r="B138" s="3">
        <v>42</v>
      </c>
      <c r="C138" s="3">
        <v>22</v>
      </c>
      <c r="D138" s="4">
        <v>46045.52847222222</v>
      </c>
      <c r="E138" s="3">
        <v>49</v>
      </c>
      <c r="F138" s="3" t="s">
        <v>12</v>
      </c>
      <c r="G138" s="3" t="s">
        <v>10</v>
      </c>
      <c r="H138" s="3">
        <v>86</v>
      </c>
      <c r="I138" s="5">
        <f t="shared" si="2"/>
        <v>46045</v>
      </c>
      <c r="J138" s="3">
        <f>IF(COUNTIFS($C$2:C138,C138,$I$2:I138,I138)=1,1,0)</f>
        <v>1</v>
      </c>
    </row>
    <row r="139" spans="1:10" x14ac:dyDescent="0.3">
      <c r="A139" s="3" t="s">
        <v>152</v>
      </c>
      <c r="B139" s="3">
        <v>163</v>
      </c>
      <c r="C139" s="3">
        <v>32</v>
      </c>
      <c r="D139" s="4">
        <v>46050.724999999999</v>
      </c>
      <c r="E139" s="3">
        <v>2999</v>
      </c>
      <c r="F139" s="3" t="s">
        <v>9</v>
      </c>
      <c r="G139" s="3" t="s">
        <v>25</v>
      </c>
      <c r="H139" s="3">
        <v>69</v>
      </c>
      <c r="I139" s="5">
        <f t="shared" si="2"/>
        <v>46050</v>
      </c>
      <c r="J139" s="3">
        <f>IF(COUNTIFS($C$2:C139,C139,$I$2:I139,I139)=1,1,0)</f>
        <v>1</v>
      </c>
    </row>
    <row r="140" spans="1:10" x14ac:dyDescent="0.3">
      <c r="A140" s="3" t="s">
        <v>153</v>
      </c>
      <c r="B140" s="3">
        <v>121</v>
      </c>
      <c r="C140" s="3">
        <v>19</v>
      </c>
      <c r="D140" s="4">
        <v>46024.794444444444</v>
      </c>
      <c r="E140" s="3">
        <v>149</v>
      </c>
      <c r="F140" s="3" t="s">
        <v>12</v>
      </c>
      <c r="G140" s="3" t="s">
        <v>10</v>
      </c>
      <c r="H140" s="3">
        <v>29</v>
      </c>
      <c r="I140" s="5">
        <f t="shared" si="2"/>
        <v>46024</v>
      </c>
      <c r="J140" s="3">
        <f>IF(COUNTIFS($C$2:C140,C140,$I$2:I140,I140)=1,1,0)</f>
        <v>1</v>
      </c>
    </row>
    <row r="141" spans="1:10" x14ac:dyDescent="0.3">
      <c r="A141" s="3" t="s">
        <v>154</v>
      </c>
      <c r="B141" s="3">
        <v>51</v>
      </c>
      <c r="C141" s="3">
        <v>7</v>
      </c>
      <c r="D141" s="4">
        <v>46046.102083333331</v>
      </c>
      <c r="E141" s="3">
        <v>499</v>
      </c>
      <c r="F141" s="3" t="s">
        <v>24</v>
      </c>
      <c r="G141" s="3" t="s">
        <v>10</v>
      </c>
      <c r="H141" s="3">
        <v>56</v>
      </c>
      <c r="I141" s="5">
        <f t="shared" si="2"/>
        <v>46046</v>
      </c>
      <c r="J141" s="3">
        <f>IF(COUNTIFS($C$2:C141,C141,$I$2:I141,I141)=1,1,0)</f>
        <v>1</v>
      </c>
    </row>
    <row r="142" spans="1:10" x14ac:dyDescent="0.3">
      <c r="A142" s="3" t="s">
        <v>155</v>
      </c>
      <c r="B142" s="3">
        <v>15</v>
      </c>
      <c r="C142" s="3">
        <v>3</v>
      </c>
      <c r="D142" s="4">
        <v>46028.929861111108</v>
      </c>
      <c r="E142" s="3">
        <v>799</v>
      </c>
      <c r="F142" s="3" t="s">
        <v>12</v>
      </c>
      <c r="G142" s="3" t="s">
        <v>10</v>
      </c>
      <c r="H142" s="3">
        <v>41</v>
      </c>
      <c r="I142" s="5">
        <f t="shared" si="2"/>
        <v>46028</v>
      </c>
      <c r="J142" s="3">
        <f>IF(COUNTIFS($C$2:C142,C142,$I$2:I142,I142)=1,1,0)</f>
        <v>0</v>
      </c>
    </row>
    <row r="143" spans="1:10" x14ac:dyDescent="0.3">
      <c r="A143" s="3" t="s">
        <v>156</v>
      </c>
      <c r="B143" s="3">
        <v>184</v>
      </c>
      <c r="C143" s="3">
        <v>24</v>
      </c>
      <c r="D143" s="4">
        <v>46048.054166666669</v>
      </c>
      <c r="E143" s="3">
        <v>49</v>
      </c>
      <c r="F143" s="3" t="s">
        <v>12</v>
      </c>
      <c r="G143" s="3" t="s">
        <v>10</v>
      </c>
      <c r="H143" s="3">
        <v>55</v>
      </c>
      <c r="I143" s="5">
        <f t="shared" si="2"/>
        <v>46048</v>
      </c>
      <c r="J143" s="3">
        <f>IF(COUNTIFS($C$2:C143,C143,$I$2:I143,I143)=1,1,0)</f>
        <v>1</v>
      </c>
    </row>
    <row r="144" spans="1:10" x14ac:dyDescent="0.3">
      <c r="A144" s="3" t="s">
        <v>157</v>
      </c>
      <c r="B144" s="3">
        <v>211</v>
      </c>
      <c r="C144" s="3">
        <v>37</v>
      </c>
      <c r="D144" s="4">
        <v>46027.314583333333</v>
      </c>
      <c r="E144" s="3">
        <v>1499</v>
      </c>
      <c r="F144" s="3" t="s">
        <v>12</v>
      </c>
      <c r="G144" s="3" t="s">
        <v>10</v>
      </c>
      <c r="H144" s="3">
        <v>87</v>
      </c>
      <c r="I144" s="5">
        <f t="shared" si="2"/>
        <v>46027</v>
      </c>
      <c r="J144" s="3">
        <f>IF(COUNTIFS($C$2:C144,C144,$I$2:I144,I144)=1,1,0)</f>
        <v>1</v>
      </c>
    </row>
    <row r="145" spans="1:10" x14ac:dyDescent="0.3">
      <c r="A145" s="3" t="s">
        <v>158</v>
      </c>
      <c r="B145" s="3">
        <v>90</v>
      </c>
      <c r="C145" s="3">
        <v>6</v>
      </c>
      <c r="D145" s="4">
        <v>46048.215277777781</v>
      </c>
      <c r="E145" s="3">
        <v>49</v>
      </c>
      <c r="F145" s="3" t="s">
        <v>24</v>
      </c>
      <c r="G145" s="3" t="s">
        <v>10</v>
      </c>
      <c r="H145" s="3">
        <v>78</v>
      </c>
      <c r="I145" s="5">
        <f t="shared" si="2"/>
        <v>46048</v>
      </c>
      <c r="J145" s="3">
        <f>IF(COUNTIFS($C$2:C145,C145,$I$2:I145,I145)=1,1,0)</f>
        <v>0</v>
      </c>
    </row>
    <row r="146" spans="1:10" x14ac:dyDescent="0.3">
      <c r="A146" s="3" t="s">
        <v>159</v>
      </c>
      <c r="B146" s="3">
        <v>350</v>
      </c>
      <c r="C146" s="3">
        <v>16</v>
      </c>
      <c r="D146" s="4">
        <v>46050.527083333334</v>
      </c>
      <c r="E146" s="3">
        <v>49</v>
      </c>
      <c r="F146" s="3" t="s">
        <v>12</v>
      </c>
      <c r="G146" s="3" t="s">
        <v>10</v>
      </c>
      <c r="H146" s="3">
        <v>63</v>
      </c>
      <c r="I146" s="5">
        <f t="shared" si="2"/>
        <v>46050</v>
      </c>
      <c r="J146" s="3">
        <f>IF(COUNTIFS($C$2:C146,C146,$I$2:I146,I146)=1,1,0)</f>
        <v>1</v>
      </c>
    </row>
    <row r="147" spans="1:10" x14ac:dyDescent="0.3">
      <c r="A147" s="3" t="s">
        <v>160</v>
      </c>
      <c r="B147" s="3">
        <v>119</v>
      </c>
      <c r="C147" s="3">
        <v>30</v>
      </c>
      <c r="D147" s="4">
        <v>46052.756249999999</v>
      </c>
      <c r="E147" s="3">
        <v>49</v>
      </c>
      <c r="F147" s="3" t="s">
        <v>24</v>
      </c>
      <c r="G147" s="3" t="s">
        <v>10</v>
      </c>
      <c r="H147" s="3">
        <v>81</v>
      </c>
      <c r="I147" s="5">
        <f t="shared" si="2"/>
        <v>46052</v>
      </c>
      <c r="J147" s="3">
        <f>IF(COUNTIFS($C$2:C147,C147,$I$2:I147,I147)=1,1,0)</f>
        <v>1</v>
      </c>
    </row>
    <row r="148" spans="1:10" x14ac:dyDescent="0.3">
      <c r="A148" s="3" t="s">
        <v>161</v>
      </c>
      <c r="B148" s="3">
        <v>342</v>
      </c>
      <c r="C148" s="3">
        <v>1</v>
      </c>
      <c r="D148" s="4">
        <v>46031.594444444447</v>
      </c>
      <c r="E148" s="3">
        <v>49</v>
      </c>
      <c r="F148" s="3" t="s">
        <v>12</v>
      </c>
      <c r="G148" s="3" t="s">
        <v>10</v>
      </c>
      <c r="H148" s="3">
        <v>59</v>
      </c>
      <c r="I148" s="5">
        <f t="shared" si="2"/>
        <v>46031</v>
      </c>
      <c r="J148" s="3">
        <f>IF(COUNTIFS($C$2:C148,C148,$I$2:I148,I148)=1,1,0)</f>
        <v>1</v>
      </c>
    </row>
    <row r="149" spans="1:10" x14ac:dyDescent="0.3">
      <c r="A149" s="3" t="s">
        <v>162</v>
      </c>
      <c r="B149" s="3">
        <v>280</v>
      </c>
      <c r="C149" s="3">
        <v>11</v>
      </c>
      <c r="D149" s="4">
        <v>46051.404861111114</v>
      </c>
      <c r="E149" s="3">
        <v>149</v>
      </c>
      <c r="F149" s="3" t="s">
        <v>12</v>
      </c>
      <c r="G149" s="3" t="s">
        <v>38</v>
      </c>
      <c r="H149" s="3">
        <v>9</v>
      </c>
      <c r="I149" s="5">
        <f t="shared" si="2"/>
        <v>46051</v>
      </c>
      <c r="J149" s="3">
        <f>IF(COUNTIFS($C$2:C149,C149,$I$2:I149,I149)=1,1,0)</f>
        <v>1</v>
      </c>
    </row>
    <row r="150" spans="1:10" x14ac:dyDescent="0.3">
      <c r="A150" s="3" t="s">
        <v>163</v>
      </c>
      <c r="B150" s="3">
        <v>154</v>
      </c>
      <c r="C150" s="3">
        <v>28</v>
      </c>
      <c r="D150" s="4">
        <v>46037.484027777777</v>
      </c>
      <c r="E150" s="3">
        <v>2999</v>
      </c>
      <c r="F150" s="3" t="s">
        <v>15</v>
      </c>
      <c r="G150" s="3" t="s">
        <v>10</v>
      </c>
      <c r="H150" s="3">
        <v>88</v>
      </c>
      <c r="I150" s="5">
        <f t="shared" si="2"/>
        <v>46037</v>
      </c>
      <c r="J150" s="3">
        <f>IF(COUNTIFS($C$2:C150,C150,$I$2:I150,I150)=1,1,0)</f>
        <v>1</v>
      </c>
    </row>
    <row r="151" spans="1:10" x14ac:dyDescent="0.3">
      <c r="A151" s="3" t="s">
        <v>164</v>
      </c>
      <c r="B151" s="3">
        <v>155</v>
      </c>
      <c r="C151" s="3">
        <v>13</v>
      </c>
      <c r="D151" s="4">
        <v>46031.620833333334</v>
      </c>
      <c r="E151" s="3">
        <v>149</v>
      </c>
      <c r="F151" s="3" t="s">
        <v>12</v>
      </c>
      <c r="G151" s="3" t="s">
        <v>10</v>
      </c>
      <c r="H151" s="3">
        <v>49</v>
      </c>
      <c r="I151" s="5">
        <f t="shared" si="2"/>
        <v>46031</v>
      </c>
      <c r="J151" s="3">
        <f>IF(COUNTIFS($C$2:C151,C151,$I$2:I151,I151)=1,1,0)</f>
        <v>1</v>
      </c>
    </row>
    <row r="152" spans="1:10" x14ac:dyDescent="0.3">
      <c r="A152" s="3" t="s">
        <v>165</v>
      </c>
      <c r="B152" s="3">
        <v>122</v>
      </c>
      <c r="C152" s="3">
        <v>25</v>
      </c>
      <c r="D152" s="4">
        <v>46050.629166666666</v>
      </c>
      <c r="E152" s="3">
        <v>299</v>
      </c>
      <c r="F152" s="3" t="s">
        <v>12</v>
      </c>
      <c r="G152" s="3" t="s">
        <v>10</v>
      </c>
      <c r="H152" s="3">
        <v>73</v>
      </c>
      <c r="I152" s="5">
        <f t="shared" si="2"/>
        <v>46050</v>
      </c>
      <c r="J152" s="3">
        <f>IF(COUNTIFS($C$2:C152,C152,$I$2:I152,I152)=1,1,0)</f>
        <v>1</v>
      </c>
    </row>
    <row r="153" spans="1:10" x14ac:dyDescent="0.3">
      <c r="A153" s="3" t="s">
        <v>166</v>
      </c>
      <c r="B153" s="3">
        <v>152</v>
      </c>
      <c r="C153" s="3">
        <v>2</v>
      </c>
      <c r="D153" s="4">
        <v>46034.762499999997</v>
      </c>
      <c r="E153" s="3">
        <v>49</v>
      </c>
      <c r="F153" s="3" t="s">
        <v>12</v>
      </c>
      <c r="G153" s="3" t="s">
        <v>10</v>
      </c>
      <c r="H153" s="3">
        <v>84</v>
      </c>
      <c r="I153" s="5">
        <f t="shared" si="2"/>
        <v>46034</v>
      </c>
      <c r="J153" s="3">
        <f>IF(COUNTIFS($C$2:C153,C153,$I$2:I153,I153)=1,1,0)</f>
        <v>1</v>
      </c>
    </row>
    <row r="154" spans="1:10" x14ac:dyDescent="0.3">
      <c r="A154" s="3" t="s">
        <v>167</v>
      </c>
      <c r="B154" s="3">
        <v>290</v>
      </c>
      <c r="C154" s="3">
        <v>4</v>
      </c>
      <c r="D154" s="4">
        <v>46035.333333333336</v>
      </c>
      <c r="E154" s="3">
        <v>149</v>
      </c>
      <c r="F154" s="3" t="s">
        <v>12</v>
      </c>
      <c r="G154" s="3" t="s">
        <v>10</v>
      </c>
      <c r="H154" s="3">
        <v>77</v>
      </c>
      <c r="I154" s="5">
        <f t="shared" si="2"/>
        <v>46035</v>
      </c>
      <c r="J154" s="3">
        <f>IF(COUNTIFS($C$2:C154,C154,$I$2:I154,I154)=1,1,0)</f>
        <v>0</v>
      </c>
    </row>
    <row r="155" spans="1:10" x14ac:dyDescent="0.3">
      <c r="A155" s="3" t="s">
        <v>168</v>
      </c>
      <c r="B155" s="3">
        <v>147</v>
      </c>
      <c r="C155" s="3">
        <v>15</v>
      </c>
      <c r="D155" s="4">
        <v>46046.661805555559</v>
      </c>
      <c r="E155" s="3">
        <v>49</v>
      </c>
      <c r="F155" s="3" t="s">
        <v>9</v>
      </c>
      <c r="G155" s="3" t="s">
        <v>10</v>
      </c>
      <c r="H155" s="3">
        <v>77</v>
      </c>
      <c r="I155" s="5">
        <f t="shared" si="2"/>
        <v>46046</v>
      </c>
      <c r="J155" s="3">
        <f>IF(COUNTIFS($C$2:C155,C155,$I$2:I155,I155)=1,1,0)</f>
        <v>0</v>
      </c>
    </row>
    <row r="156" spans="1:10" x14ac:dyDescent="0.3">
      <c r="A156" s="3" t="s">
        <v>169</v>
      </c>
      <c r="B156" s="3">
        <v>326</v>
      </c>
      <c r="C156" s="3">
        <v>13</v>
      </c>
      <c r="D156" s="4">
        <v>46048.468055555553</v>
      </c>
      <c r="E156" s="3">
        <v>299</v>
      </c>
      <c r="F156" s="3" t="s">
        <v>15</v>
      </c>
      <c r="G156" s="3" t="s">
        <v>10</v>
      </c>
      <c r="H156" s="3">
        <v>79</v>
      </c>
      <c r="I156" s="5">
        <f t="shared" si="2"/>
        <v>46048</v>
      </c>
      <c r="J156" s="3">
        <f>IF(COUNTIFS($C$2:C156,C156,$I$2:I156,I156)=1,1,0)</f>
        <v>1</v>
      </c>
    </row>
    <row r="157" spans="1:10" x14ac:dyDescent="0.3">
      <c r="A157" s="3" t="s">
        <v>170</v>
      </c>
      <c r="B157" s="3">
        <v>338</v>
      </c>
      <c r="C157" s="3">
        <v>9</v>
      </c>
      <c r="D157" s="4">
        <v>46031.908333333333</v>
      </c>
      <c r="E157" s="3">
        <v>99</v>
      </c>
      <c r="F157" s="3" t="s">
        <v>24</v>
      </c>
      <c r="G157" s="3" t="s">
        <v>10</v>
      </c>
      <c r="H157" s="3">
        <v>80</v>
      </c>
      <c r="I157" s="5">
        <f t="shared" si="2"/>
        <v>46031</v>
      </c>
      <c r="J157" s="3">
        <f>IF(COUNTIFS($C$2:C157,C157,$I$2:I157,I157)=1,1,0)</f>
        <v>1</v>
      </c>
    </row>
    <row r="158" spans="1:10" x14ac:dyDescent="0.3">
      <c r="A158" s="3" t="s">
        <v>171</v>
      </c>
      <c r="B158" s="3">
        <v>21</v>
      </c>
      <c r="C158" s="3">
        <v>20</v>
      </c>
      <c r="D158" s="4">
        <v>46026.861805555556</v>
      </c>
      <c r="E158" s="3">
        <v>2999</v>
      </c>
      <c r="F158" s="3" t="s">
        <v>12</v>
      </c>
      <c r="G158" s="3" t="s">
        <v>10</v>
      </c>
      <c r="H158" s="3">
        <v>100</v>
      </c>
      <c r="I158" s="5">
        <f t="shared" si="2"/>
        <v>46026</v>
      </c>
      <c r="J158" s="3">
        <f>IF(COUNTIFS($C$2:C158,C158,$I$2:I158,I158)=1,1,0)</f>
        <v>1</v>
      </c>
    </row>
    <row r="159" spans="1:10" x14ac:dyDescent="0.3">
      <c r="A159" s="3" t="s">
        <v>172</v>
      </c>
      <c r="B159" s="3">
        <v>187</v>
      </c>
      <c r="C159" s="3">
        <v>9</v>
      </c>
      <c r="D159" s="4">
        <v>46037.067361111112</v>
      </c>
      <c r="E159" s="3">
        <v>49</v>
      </c>
      <c r="F159" s="3" t="s">
        <v>24</v>
      </c>
      <c r="G159" s="3" t="s">
        <v>25</v>
      </c>
      <c r="H159" s="3">
        <v>11</v>
      </c>
      <c r="I159" s="5">
        <f t="shared" si="2"/>
        <v>46037</v>
      </c>
      <c r="J159" s="3">
        <f>IF(COUNTIFS($C$2:C159,C159,$I$2:I159,I159)=1,1,0)</f>
        <v>1</v>
      </c>
    </row>
    <row r="160" spans="1:10" x14ac:dyDescent="0.3">
      <c r="A160" s="3" t="s">
        <v>173</v>
      </c>
      <c r="B160" s="3">
        <v>213</v>
      </c>
      <c r="C160" s="3">
        <v>12</v>
      </c>
      <c r="D160" s="4">
        <v>46052.388888888891</v>
      </c>
      <c r="E160" s="3">
        <v>4999</v>
      </c>
      <c r="F160" s="3" t="s">
        <v>12</v>
      </c>
      <c r="G160" s="3" t="s">
        <v>10</v>
      </c>
      <c r="H160" s="3">
        <v>25</v>
      </c>
      <c r="I160" s="5">
        <f t="shared" si="2"/>
        <v>46052</v>
      </c>
      <c r="J160" s="3">
        <f>IF(COUNTIFS($C$2:C160,C160,$I$2:I160,I160)=1,1,0)</f>
        <v>1</v>
      </c>
    </row>
    <row r="161" spans="1:10" x14ac:dyDescent="0.3">
      <c r="A161" s="3" t="s">
        <v>174</v>
      </c>
      <c r="B161" s="3">
        <v>188</v>
      </c>
      <c r="C161" s="3">
        <v>34</v>
      </c>
      <c r="D161" s="4">
        <v>46027.74722222222</v>
      </c>
      <c r="E161" s="3">
        <v>2999</v>
      </c>
      <c r="F161" s="3" t="s">
        <v>12</v>
      </c>
      <c r="G161" s="3" t="s">
        <v>10</v>
      </c>
      <c r="H161" s="3">
        <v>64</v>
      </c>
      <c r="I161" s="5">
        <f t="shared" si="2"/>
        <v>46027</v>
      </c>
      <c r="J161" s="3">
        <f>IF(COUNTIFS($C$2:C161,C161,$I$2:I161,I161)=1,1,0)</f>
        <v>1</v>
      </c>
    </row>
    <row r="162" spans="1:10" x14ac:dyDescent="0.3">
      <c r="A162" s="3" t="s">
        <v>175</v>
      </c>
      <c r="B162" s="3">
        <v>85</v>
      </c>
      <c r="C162" s="3">
        <v>17</v>
      </c>
      <c r="D162" s="4">
        <v>46052.370138888888</v>
      </c>
      <c r="E162" s="3">
        <v>499</v>
      </c>
      <c r="F162" s="3" t="s">
        <v>12</v>
      </c>
      <c r="G162" s="3" t="s">
        <v>10</v>
      </c>
      <c r="H162" s="3">
        <v>61</v>
      </c>
      <c r="I162" s="5">
        <f t="shared" si="2"/>
        <v>46052</v>
      </c>
      <c r="J162" s="3">
        <f>IF(COUNTIFS($C$2:C162,C162,$I$2:I162,I162)=1,1,0)</f>
        <v>1</v>
      </c>
    </row>
    <row r="163" spans="1:10" x14ac:dyDescent="0.3">
      <c r="A163" s="3" t="s">
        <v>176</v>
      </c>
      <c r="B163" s="3">
        <v>174</v>
      </c>
      <c r="C163" s="3">
        <v>8</v>
      </c>
      <c r="D163" s="4">
        <v>46048.407638888886</v>
      </c>
      <c r="E163" s="3">
        <v>299</v>
      </c>
      <c r="F163" s="3" t="s">
        <v>15</v>
      </c>
      <c r="G163" s="3" t="s">
        <v>10</v>
      </c>
      <c r="H163" s="3">
        <v>59</v>
      </c>
      <c r="I163" s="5">
        <f t="shared" si="2"/>
        <v>46048</v>
      </c>
      <c r="J163" s="3">
        <f>IF(COUNTIFS($C$2:C163,C163,$I$2:I163,I163)=1,1,0)</f>
        <v>1</v>
      </c>
    </row>
    <row r="164" spans="1:10" x14ac:dyDescent="0.3">
      <c r="A164" s="3" t="s">
        <v>177</v>
      </c>
      <c r="B164" s="3">
        <v>116</v>
      </c>
      <c r="C164" s="3">
        <v>26</v>
      </c>
      <c r="D164" s="4">
        <v>46025.2</v>
      </c>
      <c r="E164" s="3">
        <v>99</v>
      </c>
      <c r="F164" s="3" t="s">
        <v>15</v>
      </c>
      <c r="G164" s="3" t="s">
        <v>10</v>
      </c>
      <c r="H164" s="3">
        <v>71</v>
      </c>
      <c r="I164" s="5">
        <f t="shared" si="2"/>
        <v>46025</v>
      </c>
      <c r="J164" s="3">
        <f>IF(COUNTIFS($C$2:C164,C164,$I$2:I164,I164)=1,1,0)</f>
        <v>1</v>
      </c>
    </row>
    <row r="165" spans="1:10" x14ac:dyDescent="0.3">
      <c r="A165" s="3" t="s">
        <v>178</v>
      </c>
      <c r="B165" s="3">
        <v>203</v>
      </c>
      <c r="C165" s="3">
        <v>1</v>
      </c>
      <c r="D165" s="4">
        <v>46034.118055555555</v>
      </c>
      <c r="E165" s="3">
        <v>149</v>
      </c>
      <c r="F165" s="3" t="s">
        <v>9</v>
      </c>
      <c r="G165" s="3" t="s">
        <v>10</v>
      </c>
      <c r="H165" s="3">
        <v>33</v>
      </c>
      <c r="I165" s="5">
        <f t="shared" si="2"/>
        <v>46034</v>
      </c>
      <c r="J165" s="3">
        <f>IF(COUNTIFS($C$2:C165,C165,$I$2:I165,I165)=1,1,0)</f>
        <v>1</v>
      </c>
    </row>
    <row r="166" spans="1:10" x14ac:dyDescent="0.3">
      <c r="A166" s="3" t="s">
        <v>179</v>
      </c>
      <c r="B166" s="3">
        <v>189</v>
      </c>
      <c r="C166" s="3">
        <v>17</v>
      </c>
      <c r="D166" s="4">
        <v>46040.145138888889</v>
      </c>
      <c r="E166" s="3">
        <v>99</v>
      </c>
      <c r="F166" s="3" t="s">
        <v>12</v>
      </c>
      <c r="G166" s="3" t="s">
        <v>10</v>
      </c>
      <c r="H166" s="3">
        <v>74</v>
      </c>
      <c r="I166" s="5">
        <f t="shared" si="2"/>
        <v>46040</v>
      </c>
      <c r="J166" s="3">
        <f>IF(COUNTIFS($C$2:C166,C166,$I$2:I166,I166)=1,1,0)</f>
        <v>1</v>
      </c>
    </row>
    <row r="167" spans="1:10" x14ac:dyDescent="0.3">
      <c r="A167" s="3" t="s">
        <v>180</v>
      </c>
      <c r="B167" s="3">
        <v>56</v>
      </c>
      <c r="C167" s="3">
        <v>15</v>
      </c>
      <c r="D167" s="4">
        <v>46035.849305555559</v>
      </c>
      <c r="E167" s="3">
        <v>299</v>
      </c>
      <c r="F167" s="3" t="s">
        <v>12</v>
      </c>
      <c r="G167" s="3" t="s">
        <v>10</v>
      </c>
      <c r="H167" s="3">
        <v>60</v>
      </c>
      <c r="I167" s="5">
        <f t="shared" si="2"/>
        <v>46035</v>
      </c>
      <c r="J167" s="3">
        <f>IF(COUNTIFS($C$2:C167,C167,$I$2:I167,I167)=1,1,0)</f>
        <v>1</v>
      </c>
    </row>
    <row r="168" spans="1:10" x14ac:dyDescent="0.3">
      <c r="A168" s="3" t="s">
        <v>181</v>
      </c>
      <c r="B168" s="3">
        <v>288</v>
      </c>
      <c r="C168" s="3">
        <v>21</v>
      </c>
      <c r="D168" s="4">
        <v>46023.830555555556</v>
      </c>
      <c r="E168" s="3">
        <v>4999</v>
      </c>
      <c r="F168" s="3" t="s">
        <v>9</v>
      </c>
      <c r="G168" s="3" t="s">
        <v>25</v>
      </c>
      <c r="H168" s="3">
        <v>78</v>
      </c>
      <c r="I168" s="5">
        <f t="shared" si="2"/>
        <v>46023</v>
      </c>
      <c r="J168" s="3">
        <f>IF(COUNTIFS($C$2:C168,C168,$I$2:I168,I168)=1,1,0)</f>
        <v>1</v>
      </c>
    </row>
    <row r="169" spans="1:10" x14ac:dyDescent="0.3">
      <c r="A169" s="3" t="s">
        <v>182</v>
      </c>
      <c r="B169" s="3">
        <v>326</v>
      </c>
      <c r="C169" s="3">
        <v>30</v>
      </c>
      <c r="D169" s="4">
        <v>46030.836111111108</v>
      </c>
      <c r="E169" s="3">
        <v>99</v>
      </c>
      <c r="F169" s="3" t="s">
        <v>24</v>
      </c>
      <c r="G169" s="3" t="s">
        <v>10</v>
      </c>
      <c r="H169" s="3">
        <v>89</v>
      </c>
      <c r="I169" s="5">
        <f t="shared" si="2"/>
        <v>46030</v>
      </c>
      <c r="J169" s="3">
        <f>IF(COUNTIFS($C$2:C169,C169,$I$2:I169,I169)=1,1,0)</f>
        <v>0</v>
      </c>
    </row>
    <row r="170" spans="1:10" x14ac:dyDescent="0.3">
      <c r="A170" s="3" t="s">
        <v>183</v>
      </c>
      <c r="B170" s="3">
        <v>60</v>
      </c>
      <c r="C170" s="3">
        <v>9</v>
      </c>
      <c r="D170" s="4">
        <v>46032.851388888892</v>
      </c>
      <c r="E170" s="3">
        <v>49</v>
      </c>
      <c r="F170" s="3" t="s">
        <v>15</v>
      </c>
      <c r="G170" s="3" t="s">
        <v>10</v>
      </c>
      <c r="H170" s="3">
        <v>5</v>
      </c>
      <c r="I170" s="5">
        <f t="shared" si="2"/>
        <v>46032</v>
      </c>
      <c r="J170" s="3">
        <f>IF(COUNTIFS($C$2:C170,C170,$I$2:I170,I170)=1,1,0)</f>
        <v>1</v>
      </c>
    </row>
    <row r="171" spans="1:10" x14ac:dyDescent="0.3">
      <c r="A171" s="3" t="s">
        <v>184</v>
      </c>
      <c r="B171" s="3">
        <v>60</v>
      </c>
      <c r="C171" s="3">
        <v>7</v>
      </c>
      <c r="D171" s="4">
        <v>46024.396527777775</v>
      </c>
      <c r="E171" s="3">
        <v>2999</v>
      </c>
      <c r="F171" s="3" t="s">
        <v>9</v>
      </c>
      <c r="G171" s="3" t="s">
        <v>10</v>
      </c>
      <c r="H171" s="3">
        <v>30</v>
      </c>
      <c r="I171" s="5">
        <f t="shared" si="2"/>
        <v>46024</v>
      </c>
      <c r="J171" s="3">
        <f>IF(COUNTIFS($C$2:C171,C171,$I$2:I171,I171)=1,1,0)</f>
        <v>1</v>
      </c>
    </row>
    <row r="172" spans="1:10" x14ac:dyDescent="0.3">
      <c r="A172" s="3" t="s">
        <v>185</v>
      </c>
      <c r="B172" s="3">
        <v>199</v>
      </c>
      <c r="C172" s="3">
        <v>30</v>
      </c>
      <c r="D172" s="4">
        <v>46051.713888888888</v>
      </c>
      <c r="E172" s="3">
        <v>149</v>
      </c>
      <c r="F172" s="3" t="s">
        <v>15</v>
      </c>
      <c r="G172" s="3" t="s">
        <v>10</v>
      </c>
      <c r="H172" s="3">
        <v>47</v>
      </c>
      <c r="I172" s="5">
        <f t="shared" si="2"/>
        <v>46051</v>
      </c>
      <c r="J172" s="3">
        <f>IF(COUNTIFS($C$2:C172,C172,$I$2:I172,I172)=1,1,0)</f>
        <v>1</v>
      </c>
    </row>
    <row r="173" spans="1:10" x14ac:dyDescent="0.3">
      <c r="A173" s="3" t="s">
        <v>186</v>
      </c>
      <c r="B173" s="3">
        <v>277</v>
      </c>
      <c r="C173" s="3">
        <v>27</v>
      </c>
      <c r="D173" s="4">
        <v>46044.988888888889</v>
      </c>
      <c r="E173" s="3">
        <v>49</v>
      </c>
      <c r="F173" s="3" t="s">
        <v>12</v>
      </c>
      <c r="G173" s="3" t="s">
        <v>10</v>
      </c>
      <c r="H173" s="3">
        <v>75</v>
      </c>
      <c r="I173" s="5">
        <f t="shared" si="2"/>
        <v>46044</v>
      </c>
      <c r="J173" s="3">
        <f>IF(COUNTIFS($C$2:C173,C173,$I$2:I173,I173)=1,1,0)</f>
        <v>1</v>
      </c>
    </row>
    <row r="174" spans="1:10" x14ac:dyDescent="0.3">
      <c r="A174" s="3" t="s">
        <v>187</v>
      </c>
      <c r="B174" s="3">
        <v>213</v>
      </c>
      <c r="C174" s="3">
        <v>7</v>
      </c>
      <c r="D174" s="4">
        <v>46046.964583333334</v>
      </c>
      <c r="E174" s="3">
        <v>799</v>
      </c>
      <c r="F174" s="3" t="s">
        <v>15</v>
      </c>
      <c r="G174" s="3" t="s">
        <v>10</v>
      </c>
      <c r="H174" s="3">
        <v>62</v>
      </c>
      <c r="I174" s="5">
        <f t="shared" si="2"/>
        <v>46046</v>
      </c>
      <c r="J174" s="3">
        <f>IF(COUNTIFS($C$2:C174,C174,$I$2:I174,I174)=1,1,0)</f>
        <v>0</v>
      </c>
    </row>
    <row r="175" spans="1:10" x14ac:dyDescent="0.3">
      <c r="A175" s="3" t="s">
        <v>188</v>
      </c>
      <c r="B175" s="3">
        <v>17</v>
      </c>
      <c r="C175" s="3">
        <v>24</v>
      </c>
      <c r="D175" s="4">
        <v>46042.553472222222</v>
      </c>
      <c r="E175" s="3">
        <v>299</v>
      </c>
      <c r="F175" s="3" t="s">
        <v>12</v>
      </c>
      <c r="G175" s="3" t="s">
        <v>10</v>
      </c>
      <c r="H175" s="3">
        <v>27</v>
      </c>
      <c r="I175" s="5">
        <f t="shared" si="2"/>
        <v>46042</v>
      </c>
      <c r="J175" s="3">
        <f>IF(COUNTIFS($C$2:C175,C175,$I$2:I175,I175)=1,1,0)</f>
        <v>1</v>
      </c>
    </row>
    <row r="176" spans="1:10" x14ac:dyDescent="0.3">
      <c r="A176" s="3" t="s">
        <v>189</v>
      </c>
      <c r="B176" s="3">
        <v>186</v>
      </c>
      <c r="C176" s="3">
        <v>7</v>
      </c>
      <c r="D176" s="4">
        <v>46037.59375</v>
      </c>
      <c r="E176" s="3">
        <v>1499</v>
      </c>
      <c r="F176" s="3" t="s">
        <v>24</v>
      </c>
      <c r="G176" s="3" t="s">
        <v>25</v>
      </c>
      <c r="H176" s="3">
        <v>87</v>
      </c>
      <c r="I176" s="5">
        <f t="shared" si="2"/>
        <v>46037</v>
      </c>
      <c r="J176" s="3">
        <f>IF(COUNTIFS($C$2:C176,C176,$I$2:I176,I176)=1,1,0)</f>
        <v>1</v>
      </c>
    </row>
    <row r="177" spans="1:10" x14ac:dyDescent="0.3">
      <c r="A177" s="3" t="s">
        <v>190</v>
      </c>
      <c r="B177" s="3">
        <v>331</v>
      </c>
      <c r="C177" s="3">
        <v>23</v>
      </c>
      <c r="D177" s="4">
        <v>46034.747916666667</v>
      </c>
      <c r="E177" s="3">
        <v>149</v>
      </c>
      <c r="F177" s="3" t="s">
        <v>12</v>
      </c>
      <c r="G177" s="3" t="s">
        <v>10</v>
      </c>
      <c r="H177" s="3">
        <v>7</v>
      </c>
      <c r="I177" s="5">
        <f t="shared" si="2"/>
        <v>46034</v>
      </c>
      <c r="J177" s="3">
        <f>IF(COUNTIFS($C$2:C177,C177,$I$2:I177,I177)=1,1,0)</f>
        <v>1</v>
      </c>
    </row>
    <row r="178" spans="1:10" x14ac:dyDescent="0.3">
      <c r="A178" s="3" t="s">
        <v>191</v>
      </c>
      <c r="B178" s="3">
        <v>63</v>
      </c>
      <c r="C178" s="3">
        <v>30</v>
      </c>
      <c r="D178" s="4">
        <v>46035.341666666667</v>
      </c>
      <c r="E178" s="3">
        <v>1499</v>
      </c>
      <c r="F178" s="3" t="s">
        <v>24</v>
      </c>
      <c r="G178" s="3" t="s">
        <v>10</v>
      </c>
      <c r="H178" s="3">
        <v>11</v>
      </c>
      <c r="I178" s="5">
        <f t="shared" si="2"/>
        <v>46035</v>
      </c>
      <c r="J178" s="3">
        <f>IF(COUNTIFS($C$2:C178,C178,$I$2:I178,I178)=1,1,0)</f>
        <v>1</v>
      </c>
    </row>
    <row r="179" spans="1:10" x14ac:dyDescent="0.3">
      <c r="A179" s="3" t="s">
        <v>192</v>
      </c>
      <c r="B179" s="3">
        <v>328</v>
      </c>
      <c r="C179" s="3">
        <v>39</v>
      </c>
      <c r="D179" s="4">
        <v>46044.27847222222</v>
      </c>
      <c r="E179" s="3">
        <v>4999</v>
      </c>
      <c r="F179" s="3" t="s">
        <v>9</v>
      </c>
      <c r="G179" s="3" t="s">
        <v>38</v>
      </c>
      <c r="H179" s="3">
        <v>2</v>
      </c>
      <c r="I179" s="5">
        <f t="shared" si="2"/>
        <v>46044</v>
      </c>
      <c r="J179" s="3">
        <f>IF(COUNTIFS($C$2:C179,C179,$I$2:I179,I179)=1,1,0)</f>
        <v>1</v>
      </c>
    </row>
    <row r="180" spans="1:10" x14ac:dyDescent="0.3">
      <c r="A180" s="3" t="s">
        <v>193</v>
      </c>
      <c r="B180" s="3">
        <v>65</v>
      </c>
      <c r="C180" s="3">
        <v>37</v>
      </c>
      <c r="D180" s="4">
        <v>46024.427083333336</v>
      </c>
      <c r="E180" s="3">
        <v>2999</v>
      </c>
      <c r="F180" s="3" t="s">
        <v>24</v>
      </c>
      <c r="G180" s="3" t="s">
        <v>10</v>
      </c>
      <c r="H180" s="3">
        <v>26</v>
      </c>
      <c r="I180" s="5">
        <f t="shared" si="2"/>
        <v>46024</v>
      </c>
      <c r="J180" s="3">
        <f>IF(COUNTIFS($C$2:C180,C180,$I$2:I180,I180)=1,1,0)</f>
        <v>1</v>
      </c>
    </row>
    <row r="181" spans="1:10" x14ac:dyDescent="0.3">
      <c r="A181" s="3" t="s">
        <v>194</v>
      </c>
      <c r="B181" s="3">
        <v>301</v>
      </c>
      <c r="C181" s="3">
        <v>14</v>
      </c>
      <c r="D181" s="4">
        <v>46025.717361111114</v>
      </c>
      <c r="E181" s="3">
        <v>149</v>
      </c>
      <c r="F181" s="3" t="s">
        <v>12</v>
      </c>
      <c r="G181" s="3" t="s">
        <v>10</v>
      </c>
      <c r="H181" s="3">
        <v>29</v>
      </c>
      <c r="I181" s="5">
        <f t="shared" si="2"/>
        <v>46025</v>
      </c>
      <c r="J181" s="3">
        <f>IF(COUNTIFS($C$2:C181,C181,$I$2:I181,I181)=1,1,0)</f>
        <v>1</v>
      </c>
    </row>
    <row r="182" spans="1:10" x14ac:dyDescent="0.3">
      <c r="A182" s="3" t="s">
        <v>195</v>
      </c>
      <c r="B182" s="3">
        <v>306</v>
      </c>
      <c r="C182" s="3">
        <v>1</v>
      </c>
      <c r="D182" s="4">
        <v>46033.201388888891</v>
      </c>
      <c r="E182" s="3">
        <v>299</v>
      </c>
      <c r="F182" s="3" t="s">
        <v>12</v>
      </c>
      <c r="G182" s="3" t="s">
        <v>25</v>
      </c>
      <c r="H182" s="3">
        <v>35</v>
      </c>
      <c r="I182" s="5">
        <f t="shared" si="2"/>
        <v>46033</v>
      </c>
      <c r="J182" s="3">
        <f>IF(COUNTIFS($C$2:C182,C182,$I$2:I182,I182)=1,1,0)</f>
        <v>1</v>
      </c>
    </row>
    <row r="183" spans="1:10" x14ac:dyDescent="0.3">
      <c r="A183" s="3" t="s">
        <v>196</v>
      </c>
      <c r="B183" s="3">
        <v>277</v>
      </c>
      <c r="C183" s="3">
        <v>17</v>
      </c>
      <c r="D183" s="4">
        <v>46050.172222222223</v>
      </c>
      <c r="E183" s="3">
        <v>299</v>
      </c>
      <c r="F183" s="3" t="s">
        <v>12</v>
      </c>
      <c r="G183" s="3" t="s">
        <v>10</v>
      </c>
      <c r="H183" s="3">
        <v>22</v>
      </c>
      <c r="I183" s="5">
        <f t="shared" si="2"/>
        <v>46050</v>
      </c>
      <c r="J183" s="3">
        <f>IF(COUNTIFS($C$2:C183,C183,$I$2:I183,I183)=1,1,0)</f>
        <v>1</v>
      </c>
    </row>
    <row r="184" spans="1:10" x14ac:dyDescent="0.3">
      <c r="A184" s="3" t="s">
        <v>197</v>
      </c>
      <c r="B184" s="3">
        <v>14</v>
      </c>
      <c r="C184" s="3">
        <v>9</v>
      </c>
      <c r="D184" s="4">
        <v>46026.913194444445</v>
      </c>
      <c r="E184" s="3">
        <v>499</v>
      </c>
      <c r="F184" s="3" t="s">
        <v>12</v>
      </c>
      <c r="G184" s="3" t="s">
        <v>10</v>
      </c>
      <c r="H184" s="3">
        <v>1</v>
      </c>
      <c r="I184" s="5">
        <f t="shared" si="2"/>
        <v>46026</v>
      </c>
      <c r="J184" s="3">
        <f>IF(COUNTIFS($C$2:C184,C184,$I$2:I184,I184)=1,1,0)</f>
        <v>1</v>
      </c>
    </row>
    <row r="185" spans="1:10" x14ac:dyDescent="0.3">
      <c r="A185" s="3" t="s">
        <v>198</v>
      </c>
      <c r="B185" s="3">
        <v>166</v>
      </c>
      <c r="C185" s="3">
        <v>2</v>
      </c>
      <c r="D185" s="4">
        <v>46034.317361111112</v>
      </c>
      <c r="E185" s="3">
        <v>299</v>
      </c>
      <c r="F185" s="3" t="s">
        <v>24</v>
      </c>
      <c r="G185" s="3" t="s">
        <v>10</v>
      </c>
      <c r="H185" s="3">
        <v>22</v>
      </c>
      <c r="I185" s="5">
        <f t="shared" si="2"/>
        <v>46034</v>
      </c>
      <c r="J185" s="3">
        <f>IF(COUNTIFS($C$2:C185,C185,$I$2:I185,I185)=1,1,0)</f>
        <v>0</v>
      </c>
    </row>
    <row r="186" spans="1:10" x14ac:dyDescent="0.3">
      <c r="A186" s="3" t="s">
        <v>199</v>
      </c>
      <c r="B186" s="3">
        <v>216</v>
      </c>
      <c r="C186" s="3">
        <v>34</v>
      </c>
      <c r="D186" s="4">
        <v>46031.047222222223</v>
      </c>
      <c r="E186" s="3">
        <v>299</v>
      </c>
      <c r="F186" s="3" t="s">
        <v>24</v>
      </c>
      <c r="G186" s="3" t="s">
        <v>10</v>
      </c>
      <c r="H186" s="3">
        <v>14</v>
      </c>
      <c r="I186" s="5">
        <f t="shared" si="2"/>
        <v>46031</v>
      </c>
      <c r="J186" s="3">
        <f>IF(COUNTIFS($C$2:C186,C186,$I$2:I186,I186)=1,1,0)</f>
        <v>1</v>
      </c>
    </row>
    <row r="187" spans="1:10" x14ac:dyDescent="0.3">
      <c r="A187" s="3" t="s">
        <v>200</v>
      </c>
      <c r="B187" s="3">
        <v>230</v>
      </c>
      <c r="C187" s="3">
        <v>24</v>
      </c>
      <c r="D187" s="4">
        <v>46046.104166666664</v>
      </c>
      <c r="E187" s="3">
        <v>49</v>
      </c>
      <c r="F187" s="3" t="s">
        <v>12</v>
      </c>
      <c r="G187" s="3" t="s">
        <v>10</v>
      </c>
      <c r="H187" s="3">
        <v>65</v>
      </c>
      <c r="I187" s="5">
        <f t="shared" si="2"/>
        <v>46046</v>
      </c>
      <c r="J187" s="3">
        <f>IF(COUNTIFS($C$2:C187,C187,$I$2:I187,I187)=1,1,0)</f>
        <v>1</v>
      </c>
    </row>
    <row r="188" spans="1:10" x14ac:dyDescent="0.3">
      <c r="A188" s="3" t="s">
        <v>201</v>
      </c>
      <c r="B188" s="3">
        <v>258</v>
      </c>
      <c r="C188" s="3">
        <v>15</v>
      </c>
      <c r="D188" s="4">
        <v>46041.144444444442</v>
      </c>
      <c r="E188" s="3">
        <v>499</v>
      </c>
      <c r="F188" s="3" t="s">
        <v>9</v>
      </c>
      <c r="G188" s="3" t="s">
        <v>10</v>
      </c>
      <c r="H188" s="3">
        <v>78</v>
      </c>
      <c r="I188" s="5">
        <f t="shared" si="2"/>
        <v>46041</v>
      </c>
      <c r="J188" s="3">
        <f>IF(COUNTIFS($C$2:C188,C188,$I$2:I188,I188)=1,1,0)</f>
        <v>1</v>
      </c>
    </row>
    <row r="189" spans="1:10" x14ac:dyDescent="0.3">
      <c r="A189" s="3" t="s">
        <v>202</v>
      </c>
      <c r="B189" s="3">
        <v>338</v>
      </c>
      <c r="C189" s="3">
        <v>34</v>
      </c>
      <c r="D189" s="4">
        <v>46024.993055555555</v>
      </c>
      <c r="E189" s="3">
        <v>49</v>
      </c>
      <c r="F189" s="3" t="s">
        <v>12</v>
      </c>
      <c r="G189" s="3" t="s">
        <v>10</v>
      </c>
      <c r="H189" s="3">
        <v>38</v>
      </c>
      <c r="I189" s="5">
        <f t="shared" si="2"/>
        <v>46024</v>
      </c>
      <c r="J189" s="3">
        <f>IF(COUNTIFS($C$2:C189,C189,$I$2:I189,I189)=1,1,0)</f>
        <v>1</v>
      </c>
    </row>
    <row r="190" spans="1:10" x14ac:dyDescent="0.3">
      <c r="A190" s="3" t="s">
        <v>203</v>
      </c>
      <c r="B190" s="3">
        <v>32</v>
      </c>
      <c r="C190" s="3">
        <v>31</v>
      </c>
      <c r="D190" s="4">
        <v>46037.834027777775</v>
      </c>
      <c r="E190" s="3">
        <v>299</v>
      </c>
      <c r="F190" s="3" t="s">
        <v>12</v>
      </c>
      <c r="G190" s="3" t="s">
        <v>10</v>
      </c>
      <c r="H190" s="3">
        <v>51</v>
      </c>
      <c r="I190" s="5">
        <f t="shared" si="2"/>
        <v>46037</v>
      </c>
      <c r="J190" s="3">
        <f>IF(COUNTIFS($C$2:C190,C190,$I$2:I190,I190)=1,1,0)</f>
        <v>1</v>
      </c>
    </row>
    <row r="191" spans="1:10" x14ac:dyDescent="0.3">
      <c r="A191" s="3" t="s">
        <v>204</v>
      </c>
      <c r="B191" s="3">
        <v>252</v>
      </c>
      <c r="C191" s="3">
        <v>29</v>
      </c>
      <c r="D191" s="4">
        <v>46036.879166666666</v>
      </c>
      <c r="E191" s="3">
        <v>1499</v>
      </c>
      <c r="F191" s="3" t="s">
        <v>12</v>
      </c>
      <c r="G191" s="3" t="s">
        <v>10</v>
      </c>
      <c r="H191" s="3">
        <v>9</v>
      </c>
      <c r="I191" s="5">
        <f t="shared" si="2"/>
        <v>46036</v>
      </c>
      <c r="J191" s="3">
        <f>IF(COUNTIFS($C$2:C191,C191,$I$2:I191,I191)=1,1,0)</f>
        <v>1</v>
      </c>
    </row>
    <row r="192" spans="1:10" x14ac:dyDescent="0.3">
      <c r="A192" s="3" t="s">
        <v>205</v>
      </c>
      <c r="B192" s="3">
        <v>312</v>
      </c>
      <c r="C192" s="3">
        <v>10</v>
      </c>
      <c r="D192" s="4">
        <v>46051.097222222219</v>
      </c>
      <c r="E192" s="3">
        <v>799</v>
      </c>
      <c r="F192" s="3" t="s">
        <v>12</v>
      </c>
      <c r="G192" s="3" t="s">
        <v>10</v>
      </c>
      <c r="H192" s="3">
        <v>8</v>
      </c>
      <c r="I192" s="5">
        <f t="shared" si="2"/>
        <v>46051</v>
      </c>
      <c r="J192" s="3">
        <f>IF(COUNTIFS($C$2:C192,C192,$I$2:I192,I192)=1,1,0)</f>
        <v>1</v>
      </c>
    </row>
    <row r="193" spans="1:10" x14ac:dyDescent="0.3">
      <c r="A193" s="3" t="s">
        <v>206</v>
      </c>
      <c r="B193" s="3">
        <v>325</v>
      </c>
      <c r="C193" s="3">
        <v>38</v>
      </c>
      <c r="D193" s="4">
        <v>46027.36041666667</v>
      </c>
      <c r="E193" s="3">
        <v>1499</v>
      </c>
      <c r="F193" s="3" t="s">
        <v>15</v>
      </c>
      <c r="G193" s="3" t="s">
        <v>10</v>
      </c>
      <c r="H193" s="3">
        <v>70</v>
      </c>
      <c r="I193" s="5">
        <f t="shared" si="2"/>
        <v>46027</v>
      </c>
      <c r="J193" s="3">
        <f>IF(COUNTIFS($C$2:C193,C193,$I$2:I193,I193)=1,1,0)</f>
        <v>1</v>
      </c>
    </row>
    <row r="194" spans="1:10" x14ac:dyDescent="0.3">
      <c r="A194" s="3" t="s">
        <v>207</v>
      </c>
      <c r="B194" s="3">
        <v>306</v>
      </c>
      <c r="C194" s="3">
        <v>34</v>
      </c>
      <c r="D194" s="4">
        <v>46045.433333333334</v>
      </c>
      <c r="E194" s="3">
        <v>2999</v>
      </c>
      <c r="F194" s="3" t="s">
        <v>12</v>
      </c>
      <c r="G194" s="3" t="s">
        <v>10</v>
      </c>
      <c r="H194" s="3">
        <v>37</v>
      </c>
      <c r="I194" s="5">
        <f t="shared" si="2"/>
        <v>46045</v>
      </c>
      <c r="J194" s="3">
        <f>IF(COUNTIFS($C$2:C194,C194,$I$2:I194,I194)=1,1,0)</f>
        <v>1</v>
      </c>
    </row>
    <row r="195" spans="1:10" x14ac:dyDescent="0.3">
      <c r="A195" s="3" t="s">
        <v>208</v>
      </c>
      <c r="B195" s="3">
        <v>221</v>
      </c>
      <c r="C195" s="3">
        <v>7</v>
      </c>
      <c r="D195" s="4">
        <v>46037.693055555559</v>
      </c>
      <c r="E195" s="3">
        <v>149</v>
      </c>
      <c r="F195" s="3" t="s">
        <v>15</v>
      </c>
      <c r="G195" s="3" t="s">
        <v>10</v>
      </c>
      <c r="H195" s="3">
        <v>89</v>
      </c>
      <c r="I195" s="5">
        <f t="shared" ref="I195:I258" si="3">INT(D195)</f>
        <v>46037</v>
      </c>
      <c r="J195" s="3">
        <f>IF(COUNTIFS($C$2:C195,C195,$I$2:I195,I195)=1,1,0)</f>
        <v>0</v>
      </c>
    </row>
    <row r="196" spans="1:10" x14ac:dyDescent="0.3">
      <c r="A196" s="3" t="s">
        <v>209</v>
      </c>
      <c r="B196" s="3">
        <v>283</v>
      </c>
      <c r="C196" s="3">
        <v>14</v>
      </c>
      <c r="D196" s="4">
        <v>46026.861805555556</v>
      </c>
      <c r="E196" s="3">
        <v>99</v>
      </c>
      <c r="F196" s="3" t="s">
        <v>9</v>
      </c>
      <c r="G196" s="3" t="s">
        <v>10</v>
      </c>
      <c r="H196" s="3">
        <v>55</v>
      </c>
      <c r="I196" s="5">
        <f t="shared" si="3"/>
        <v>46026</v>
      </c>
      <c r="J196" s="3">
        <f>IF(COUNTIFS($C$2:C196,C196,$I$2:I196,I196)=1,1,0)</f>
        <v>1</v>
      </c>
    </row>
    <row r="197" spans="1:10" x14ac:dyDescent="0.3">
      <c r="A197" s="3" t="s">
        <v>210</v>
      </c>
      <c r="B197" s="3">
        <v>174</v>
      </c>
      <c r="C197" s="3">
        <v>30</v>
      </c>
      <c r="D197" s="4">
        <v>46037.30972222222</v>
      </c>
      <c r="E197" s="3">
        <v>49</v>
      </c>
      <c r="F197" s="3" t="s">
        <v>12</v>
      </c>
      <c r="G197" s="3" t="s">
        <v>10</v>
      </c>
      <c r="H197" s="3">
        <v>51</v>
      </c>
      <c r="I197" s="5">
        <f t="shared" si="3"/>
        <v>46037</v>
      </c>
      <c r="J197" s="3">
        <f>IF(COUNTIFS($C$2:C197,C197,$I$2:I197,I197)=1,1,0)</f>
        <v>1</v>
      </c>
    </row>
    <row r="198" spans="1:10" x14ac:dyDescent="0.3">
      <c r="A198" s="3" t="s">
        <v>211</v>
      </c>
      <c r="B198" s="3">
        <v>161</v>
      </c>
      <c r="C198" s="3">
        <v>28</v>
      </c>
      <c r="D198" s="4">
        <v>46036.962500000001</v>
      </c>
      <c r="E198" s="3">
        <v>49</v>
      </c>
      <c r="F198" s="3" t="s">
        <v>12</v>
      </c>
      <c r="G198" s="3" t="s">
        <v>10</v>
      </c>
      <c r="H198" s="3">
        <v>40</v>
      </c>
      <c r="I198" s="5">
        <f t="shared" si="3"/>
        <v>46036</v>
      </c>
      <c r="J198" s="3">
        <f>IF(COUNTIFS($C$2:C198,C198,$I$2:I198,I198)=1,1,0)</f>
        <v>1</v>
      </c>
    </row>
    <row r="199" spans="1:10" x14ac:dyDescent="0.3">
      <c r="A199" s="3" t="s">
        <v>212</v>
      </c>
      <c r="B199" s="3">
        <v>79</v>
      </c>
      <c r="C199" s="3">
        <v>31</v>
      </c>
      <c r="D199" s="4">
        <v>46044.349305555559</v>
      </c>
      <c r="E199" s="3">
        <v>99</v>
      </c>
      <c r="F199" s="3" t="s">
        <v>12</v>
      </c>
      <c r="G199" s="3" t="s">
        <v>10</v>
      </c>
      <c r="H199" s="3">
        <v>8</v>
      </c>
      <c r="I199" s="5">
        <f t="shared" si="3"/>
        <v>46044</v>
      </c>
      <c r="J199" s="3">
        <f>IF(COUNTIFS($C$2:C199,C199,$I$2:I199,I199)=1,1,0)</f>
        <v>1</v>
      </c>
    </row>
    <row r="200" spans="1:10" x14ac:dyDescent="0.3">
      <c r="A200" s="3" t="s">
        <v>213</v>
      </c>
      <c r="B200" s="3">
        <v>222</v>
      </c>
      <c r="C200" s="3">
        <v>7</v>
      </c>
      <c r="D200" s="4">
        <v>46025.086805555555</v>
      </c>
      <c r="E200" s="3">
        <v>149</v>
      </c>
      <c r="F200" s="3" t="s">
        <v>9</v>
      </c>
      <c r="G200" s="3" t="s">
        <v>10</v>
      </c>
      <c r="H200" s="3">
        <v>95</v>
      </c>
      <c r="I200" s="5">
        <f t="shared" si="3"/>
        <v>46025</v>
      </c>
      <c r="J200" s="3">
        <f>IF(COUNTIFS($C$2:C200,C200,$I$2:I200,I200)=1,1,0)</f>
        <v>1</v>
      </c>
    </row>
    <row r="201" spans="1:10" x14ac:dyDescent="0.3">
      <c r="A201" s="3" t="s">
        <v>214</v>
      </c>
      <c r="B201" s="3">
        <v>67</v>
      </c>
      <c r="C201" s="3">
        <v>36</v>
      </c>
      <c r="D201" s="4">
        <v>46046.493750000001</v>
      </c>
      <c r="E201" s="3">
        <v>99</v>
      </c>
      <c r="F201" s="3" t="s">
        <v>12</v>
      </c>
      <c r="G201" s="3" t="s">
        <v>10</v>
      </c>
      <c r="H201" s="3">
        <v>7</v>
      </c>
      <c r="I201" s="5">
        <f t="shared" si="3"/>
        <v>46046</v>
      </c>
      <c r="J201" s="3">
        <f>IF(COUNTIFS($C$2:C201,C201,$I$2:I201,I201)=1,1,0)</f>
        <v>1</v>
      </c>
    </row>
    <row r="202" spans="1:10" x14ac:dyDescent="0.3">
      <c r="A202" s="3" t="s">
        <v>215</v>
      </c>
      <c r="B202" s="3">
        <v>169</v>
      </c>
      <c r="C202" s="3">
        <v>8</v>
      </c>
      <c r="D202" s="4">
        <v>46041.732638888891</v>
      </c>
      <c r="E202" s="3">
        <v>99</v>
      </c>
      <c r="F202" s="3" t="s">
        <v>12</v>
      </c>
      <c r="G202" s="3" t="s">
        <v>10</v>
      </c>
      <c r="H202" s="3">
        <v>52</v>
      </c>
      <c r="I202" s="5">
        <f t="shared" si="3"/>
        <v>46041</v>
      </c>
      <c r="J202" s="3">
        <f>IF(COUNTIFS($C$2:C202,C202,$I$2:I202,I202)=1,1,0)</f>
        <v>1</v>
      </c>
    </row>
    <row r="203" spans="1:10" x14ac:dyDescent="0.3">
      <c r="A203" s="3" t="s">
        <v>216</v>
      </c>
      <c r="B203" s="3">
        <v>217</v>
      </c>
      <c r="C203" s="3">
        <v>4</v>
      </c>
      <c r="D203" s="4">
        <v>46034.908333333333</v>
      </c>
      <c r="E203" s="3">
        <v>49</v>
      </c>
      <c r="F203" s="3" t="s">
        <v>12</v>
      </c>
      <c r="G203" s="3" t="s">
        <v>10</v>
      </c>
      <c r="H203" s="3">
        <v>36</v>
      </c>
      <c r="I203" s="5">
        <f t="shared" si="3"/>
        <v>46034</v>
      </c>
      <c r="J203" s="3">
        <f>IF(COUNTIFS($C$2:C203,C203,$I$2:I203,I203)=1,1,0)</f>
        <v>1</v>
      </c>
    </row>
    <row r="204" spans="1:10" x14ac:dyDescent="0.3">
      <c r="A204" s="3" t="s">
        <v>217</v>
      </c>
      <c r="B204" s="3">
        <v>54</v>
      </c>
      <c r="C204" s="3">
        <v>37</v>
      </c>
      <c r="D204" s="4">
        <v>46042.390277777777</v>
      </c>
      <c r="E204" s="3">
        <v>149</v>
      </c>
      <c r="F204" s="3" t="s">
        <v>12</v>
      </c>
      <c r="G204" s="3" t="s">
        <v>10</v>
      </c>
      <c r="H204" s="3">
        <v>64</v>
      </c>
      <c r="I204" s="5">
        <f t="shared" si="3"/>
        <v>46042</v>
      </c>
      <c r="J204" s="3">
        <f>IF(COUNTIFS($C$2:C204,C204,$I$2:I204,I204)=1,1,0)</f>
        <v>1</v>
      </c>
    </row>
    <row r="205" spans="1:10" x14ac:dyDescent="0.3">
      <c r="A205" s="3" t="s">
        <v>218</v>
      </c>
      <c r="B205" s="3">
        <v>247</v>
      </c>
      <c r="C205" s="3">
        <v>15</v>
      </c>
      <c r="D205" s="4">
        <v>46029.195833333331</v>
      </c>
      <c r="E205" s="3">
        <v>49</v>
      </c>
      <c r="F205" s="3" t="s">
        <v>24</v>
      </c>
      <c r="G205" s="3" t="s">
        <v>10</v>
      </c>
      <c r="H205" s="3">
        <v>13</v>
      </c>
      <c r="I205" s="5">
        <f t="shared" si="3"/>
        <v>46029</v>
      </c>
      <c r="J205" s="3">
        <f>IF(COUNTIFS($C$2:C205,C205,$I$2:I205,I205)=1,1,0)</f>
        <v>1</v>
      </c>
    </row>
    <row r="206" spans="1:10" x14ac:dyDescent="0.3">
      <c r="A206" s="3" t="s">
        <v>219</v>
      </c>
      <c r="B206" s="3">
        <v>59</v>
      </c>
      <c r="C206" s="3">
        <v>18</v>
      </c>
      <c r="D206" s="4">
        <v>46034.724305555559</v>
      </c>
      <c r="E206" s="3">
        <v>49</v>
      </c>
      <c r="F206" s="3" t="s">
        <v>24</v>
      </c>
      <c r="G206" s="3" t="s">
        <v>10</v>
      </c>
      <c r="H206" s="3">
        <v>73</v>
      </c>
      <c r="I206" s="5">
        <f t="shared" si="3"/>
        <v>46034</v>
      </c>
      <c r="J206" s="3">
        <f>IF(COUNTIFS($C$2:C206,C206,$I$2:I206,I206)=1,1,0)</f>
        <v>1</v>
      </c>
    </row>
    <row r="207" spans="1:10" x14ac:dyDescent="0.3">
      <c r="A207" s="3" t="s">
        <v>220</v>
      </c>
      <c r="B207" s="3">
        <v>288</v>
      </c>
      <c r="C207" s="3">
        <v>40</v>
      </c>
      <c r="D207" s="4">
        <v>46030.57916666667</v>
      </c>
      <c r="E207" s="3">
        <v>49</v>
      </c>
      <c r="F207" s="3" t="s">
        <v>12</v>
      </c>
      <c r="G207" s="3" t="s">
        <v>25</v>
      </c>
      <c r="H207" s="3">
        <v>78</v>
      </c>
      <c r="I207" s="5">
        <f t="shared" si="3"/>
        <v>46030</v>
      </c>
      <c r="J207" s="3">
        <f>IF(COUNTIFS($C$2:C207,C207,$I$2:I207,I207)=1,1,0)</f>
        <v>1</v>
      </c>
    </row>
    <row r="208" spans="1:10" x14ac:dyDescent="0.3">
      <c r="A208" s="3" t="s">
        <v>221</v>
      </c>
      <c r="B208" s="3">
        <v>14</v>
      </c>
      <c r="C208" s="3">
        <v>39</v>
      </c>
      <c r="D208" s="4">
        <v>46044.857638888891</v>
      </c>
      <c r="E208" s="3">
        <v>799</v>
      </c>
      <c r="F208" s="3" t="s">
        <v>12</v>
      </c>
      <c r="G208" s="3" t="s">
        <v>10</v>
      </c>
      <c r="H208" s="3">
        <v>84</v>
      </c>
      <c r="I208" s="5">
        <f t="shared" si="3"/>
        <v>46044</v>
      </c>
      <c r="J208" s="3">
        <f>IF(COUNTIFS($C$2:C208,C208,$I$2:I208,I208)=1,1,0)</f>
        <v>0</v>
      </c>
    </row>
    <row r="209" spans="1:10" x14ac:dyDescent="0.3">
      <c r="A209" s="3" t="s">
        <v>222</v>
      </c>
      <c r="B209" s="3">
        <v>15</v>
      </c>
      <c r="C209" s="3">
        <v>12</v>
      </c>
      <c r="D209" s="4">
        <v>46049.928472222222</v>
      </c>
      <c r="E209" s="3">
        <v>149</v>
      </c>
      <c r="F209" s="3" t="s">
        <v>12</v>
      </c>
      <c r="G209" s="3" t="s">
        <v>10</v>
      </c>
      <c r="H209" s="3">
        <v>34</v>
      </c>
      <c r="I209" s="5">
        <f t="shared" si="3"/>
        <v>46049</v>
      </c>
      <c r="J209" s="3">
        <f>IF(COUNTIFS($C$2:C209,C209,$I$2:I209,I209)=1,1,0)</f>
        <v>1</v>
      </c>
    </row>
    <row r="210" spans="1:10" x14ac:dyDescent="0.3">
      <c r="A210" s="3" t="s">
        <v>223</v>
      </c>
      <c r="B210" s="3">
        <v>174</v>
      </c>
      <c r="C210" s="3">
        <v>23</v>
      </c>
      <c r="D210" s="4">
        <v>46045.415277777778</v>
      </c>
      <c r="E210" s="3">
        <v>149</v>
      </c>
      <c r="F210" s="3" t="s">
        <v>12</v>
      </c>
      <c r="G210" s="3" t="s">
        <v>10</v>
      </c>
      <c r="H210" s="3">
        <v>0</v>
      </c>
      <c r="I210" s="5">
        <f t="shared" si="3"/>
        <v>46045</v>
      </c>
      <c r="J210" s="3">
        <f>IF(COUNTIFS($C$2:C210,C210,$I$2:I210,I210)=1,1,0)</f>
        <v>1</v>
      </c>
    </row>
    <row r="211" spans="1:10" x14ac:dyDescent="0.3">
      <c r="A211" s="3" t="s">
        <v>224</v>
      </c>
      <c r="B211" s="3">
        <v>337</v>
      </c>
      <c r="C211" s="3">
        <v>26</v>
      </c>
      <c r="D211" s="4">
        <v>46028.191666666666</v>
      </c>
      <c r="E211" s="3">
        <v>49</v>
      </c>
      <c r="F211" s="3" t="s">
        <v>12</v>
      </c>
      <c r="G211" s="3" t="s">
        <v>10</v>
      </c>
      <c r="H211" s="3">
        <v>8</v>
      </c>
      <c r="I211" s="5">
        <f t="shared" si="3"/>
        <v>46028</v>
      </c>
      <c r="J211" s="3">
        <f>IF(COUNTIFS($C$2:C211,C211,$I$2:I211,I211)=1,1,0)</f>
        <v>1</v>
      </c>
    </row>
    <row r="212" spans="1:10" x14ac:dyDescent="0.3">
      <c r="A212" s="3" t="s">
        <v>225</v>
      </c>
      <c r="B212" s="3">
        <v>16</v>
      </c>
      <c r="C212" s="3">
        <v>6</v>
      </c>
      <c r="D212" s="4">
        <v>46027.986111111109</v>
      </c>
      <c r="E212" s="3">
        <v>1499</v>
      </c>
      <c r="F212" s="3" t="s">
        <v>12</v>
      </c>
      <c r="G212" s="3" t="s">
        <v>10</v>
      </c>
      <c r="H212" s="3">
        <v>95</v>
      </c>
      <c r="I212" s="5">
        <f t="shared" si="3"/>
        <v>46027</v>
      </c>
      <c r="J212" s="3">
        <f>IF(COUNTIFS($C$2:C212,C212,$I$2:I212,I212)=1,1,0)</f>
        <v>1</v>
      </c>
    </row>
    <row r="213" spans="1:10" x14ac:dyDescent="0.3">
      <c r="A213" s="3" t="s">
        <v>226</v>
      </c>
      <c r="B213" s="3">
        <v>215</v>
      </c>
      <c r="C213" s="3">
        <v>30</v>
      </c>
      <c r="D213" s="4">
        <v>46039.26666666667</v>
      </c>
      <c r="E213" s="3">
        <v>49</v>
      </c>
      <c r="F213" s="3" t="s">
        <v>12</v>
      </c>
      <c r="G213" s="3" t="s">
        <v>10</v>
      </c>
      <c r="H213" s="3">
        <v>43</v>
      </c>
      <c r="I213" s="5">
        <f t="shared" si="3"/>
        <v>46039</v>
      </c>
      <c r="J213" s="3">
        <f>IF(COUNTIFS($C$2:C213,C213,$I$2:I213,I213)=1,1,0)</f>
        <v>1</v>
      </c>
    </row>
    <row r="214" spans="1:10" x14ac:dyDescent="0.3">
      <c r="A214" s="3" t="s">
        <v>227</v>
      </c>
      <c r="B214" s="3">
        <v>167</v>
      </c>
      <c r="C214" s="3">
        <v>37</v>
      </c>
      <c r="D214" s="4">
        <v>46028.47152777778</v>
      </c>
      <c r="E214" s="3">
        <v>99</v>
      </c>
      <c r="F214" s="3" t="s">
        <v>12</v>
      </c>
      <c r="G214" s="3" t="s">
        <v>10</v>
      </c>
      <c r="H214" s="3">
        <v>76</v>
      </c>
      <c r="I214" s="5">
        <f t="shared" si="3"/>
        <v>46028</v>
      </c>
      <c r="J214" s="3">
        <f>IF(COUNTIFS($C$2:C214,C214,$I$2:I214,I214)=1,1,0)</f>
        <v>1</v>
      </c>
    </row>
    <row r="215" spans="1:10" x14ac:dyDescent="0.3">
      <c r="A215" s="3" t="s">
        <v>228</v>
      </c>
      <c r="B215" s="3">
        <v>81</v>
      </c>
      <c r="C215" s="3">
        <v>40</v>
      </c>
      <c r="D215" s="4">
        <v>46025.04791666667</v>
      </c>
      <c r="E215" s="3">
        <v>49</v>
      </c>
      <c r="F215" s="3" t="s">
        <v>12</v>
      </c>
      <c r="G215" s="3" t="s">
        <v>10</v>
      </c>
      <c r="H215" s="3">
        <v>6</v>
      </c>
      <c r="I215" s="5">
        <f t="shared" si="3"/>
        <v>46025</v>
      </c>
      <c r="J215" s="3">
        <f>IF(COUNTIFS($C$2:C215,C215,$I$2:I215,I215)=1,1,0)</f>
        <v>1</v>
      </c>
    </row>
    <row r="216" spans="1:10" x14ac:dyDescent="0.3">
      <c r="A216" s="3" t="s">
        <v>229</v>
      </c>
      <c r="B216" s="3">
        <v>227</v>
      </c>
      <c r="C216" s="3">
        <v>28</v>
      </c>
      <c r="D216" s="4">
        <v>46044.095138888886</v>
      </c>
      <c r="E216" s="3">
        <v>99</v>
      </c>
      <c r="F216" s="3" t="s">
        <v>12</v>
      </c>
      <c r="G216" s="3" t="s">
        <v>10</v>
      </c>
      <c r="H216" s="3">
        <v>62</v>
      </c>
      <c r="I216" s="5">
        <f t="shared" si="3"/>
        <v>46044</v>
      </c>
      <c r="J216" s="3">
        <f>IF(COUNTIFS($C$2:C216,C216,$I$2:I216,I216)=1,1,0)</f>
        <v>1</v>
      </c>
    </row>
    <row r="217" spans="1:10" x14ac:dyDescent="0.3">
      <c r="A217" s="3" t="s">
        <v>230</v>
      </c>
      <c r="B217" s="3">
        <v>140</v>
      </c>
      <c r="C217" s="3">
        <v>14</v>
      </c>
      <c r="D217" s="4">
        <v>46042.601388888892</v>
      </c>
      <c r="E217" s="3">
        <v>299</v>
      </c>
      <c r="F217" s="3" t="s">
        <v>9</v>
      </c>
      <c r="G217" s="3" t="s">
        <v>10</v>
      </c>
      <c r="H217" s="3">
        <v>96</v>
      </c>
      <c r="I217" s="5">
        <f t="shared" si="3"/>
        <v>46042</v>
      </c>
      <c r="J217" s="3">
        <f>IF(COUNTIFS($C$2:C217,C217,$I$2:I217,I217)=1,1,0)</f>
        <v>1</v>
      </c>
    </row>
    <row r="218" spans="1:10" x14ac:dyDescent="0.3">
      <c r="A218" s="3" t="s">
        <v>231</v>
      </c>
      <c r="B218" s="3">
        <v>221</v>
      </c>
      <c r="C218" s="3">
        <v>8</v>
      </c>
      <c r="D218" s="4">
        <v>46039.140277777777</v>
      </c>
      <c r="E218" s="3">
        <v>299</v>
      </c>
      <c r="F218" s="3" t="s">
        <v>12</v>
      </c>
      <c r="G218" s="3" t="s">
        <v>10</v>
      </c>
      <c r="H218" s="3">
        <v>36</v>
      </c>
      <c r="I218" s="5">
        <f t="shared" si="3"/>
        <v>46039</v>
      </c>
      <c r="J218" s="3">
        <f>IF(COUNTIFS($C$2:C218,C218,$I$2:I218,I218)=1,1,0)</f>
        <v>1</v>
      </c>
    </row>
    <row r="219" spans="1:10" x14ac:dyDescent="0.3">
      <c r="A219" s="3" t="s">
        <v>232</v>
      </c>
      <c r="B219" s="3">
        <v>250</v>
      </c>
      <c r="C219" s="3">
        <v>34</v>
      </c>
      <c r="D219" s="4">
        <v>46044.900694444441</v>
      </c>
      <c r="E219" s="3">
        <v>299</v>
      </c>
      <c r="F219" s="3" t="s">
        <v>9</v>
      </c>
      <c r="G219" s="3" t="s">
        <v>10</v>
      </c>
      <c r="H219" s="3">
        <v>85</v>
      </c>
      <c r="I219" s="5">
        <f t="shared" si="3"/>
        <v>46044</v>
      </c>
      <c r="J219" s="3">
        <f>IF(COUNTIFS($C$2:C219,C219,$I$2:I219,I219)=1,1,0)</f>
        <v>1</v>
      </c>
    </row>
    <row r="220" spans="1:10" x14ac:dyDescent="0.3">
      <c r="A220" s="3" t="s">
        <v>233</v>
      </c>
      <c r="B220" s="3">
        <v>203</v>
      </c>
      <c r="C220" s="3">
        <v>39</v>
      </c>
      <c r="D220" s="4">
        <v>46032.051388888889</v>
      </c>
      <c r="E220" s="3">
        <v>49</v>
      </c>
      <c r="F220" s="3" t="s">
        <v>12</v>
      </c>
      <c r="G220" s="3" t="s">
        <v>10</v>
      </c>
      <c r="H220" s="3">
        <v>7</v>
      </c>
      <c r="I220" s="5">
        <f t="shared" si="3"/>
        <v>46032</v>
      </c>
      <c r="J220" s="3">
        <f>IF(COUNTIFS($C$2:C220,C220,$I$2:I220,I220)=1,1,0)</f>
        <v>1</v>
      </c>
    </row>
    <row r="221" spans="1:10" x14ac:dyDescent="0.3">
      <c r="A221" s="3" t="s">
        <v>234</v>
      </c>
      <c r="B221" s="3">
        <v>109</v>
      </c>
      <c r="C221" s="3">
        <v>9</v>
      </c>
      <c r="D221" s="4">
        <v>46023.263194444444</v>
      </c>
      <c r="E221" s="3">
        <v>499</v>
      </c>
      <c r="F221" s="3" t="s">
        <v>9</v>
      </c>
      <c r="G221" s="3" t="s">
        <v>10</v>
      </c>
      <c r="H221" s="3">
        <v>97</v>
      </c>
      <c r="I221" s="5">
        <f t="shared" si="3"/>
        <v>46023</v>
      </c>
      <c r="J221" s="3">
        <f>IF(COUNTIFS($C$2:C221,C221,$I$2:I221,I221)=1,1,0)</f>
        <v>1</v>
      </c>
    </row>
    <row r="222" spans="1:10" x14ac:dyDescent="0.3">
      <c r="A222" s="3" t="s">
        <v>235</v>
      </c>
      <c r="B222" s="3">
        <v>62</v>
      </c>
      <c r="C222" s="3">
        <v>1</v>
      </c>
      <c r="D222" s="4">
        <v>46031.388888888891</v>
      </c>
      <c r="E222" s="3">
        <v>4999</v>
      </c>
      <c r="F222" s="3" t="s">
        <v>9</v>
      </c>
      <c r="G222" s="3" t="s">
        <v>10</v>
      </c>
      <c r="H222" s="3">
        <v>63</v>
      </c>
      <c r="I222" s="5">
        <f t="shared" si="3"/>
        <v>46031</v>
      </c>
      <c r="J222" s="3">
        <f>IF(COUNTIFS($C$2:C222,C222,$I$2:I222,I222)=1,1,0)</f>
        <v>0</v>
      </c>
    </row>
    <row r="223" spans="1:10" x14ac:dyDescent="0.3">
      <c r="A223" s="3" t="s">
        <v>236</v>
      </c>
      <c r="B223" s="3">
        <v>67</v>
      </c>
      <c r="C223" s="3">
        <v>25</v>
      </c>
      <c r="D223" s="4">
        <v>46046.549305555556</v>
      </c>
      <c r="E223" s="3">
        <v>49</v>
      </c>
      <c r="F223" s="3" t="s">
        <v>12</v>
      </c>
      <c r="G223" s="3" t="s">
        <v>10</v>
      </c>
      <c r="H223" s="3">
        <v>68</v>
      </c>
      <c r="I223" s="5">
        <f t="shared" si="3"/>
        <v>46046</v>
      </c>
      <c r="J223" s="3">
        <f>IF(COUNTIFS($C$2:C223,C223,$I$2:I223,I223)=1,1,0)</f>
        <v>0</v>
      </c>
    </row>
    <row r="224" spans="1:10" x14ac:dyDescent="0.3">
      <c r="A224" s="3" t="s">
        <v>237</v>
      </c>
      <c r="B224" s="3">
        <v>287</v>
      </c>
      <c r="C224" s="3">
        <v>23</v>
      </c>
      <c r="D224" s="4">
        <v>46045.313888888886</v>
      </c>
      <c r="E224" s="3">
        <v>49</v>
      </c>
      <c r="F224" s="3" t="s">
        <v>12</v>
      </c>
      <c r="G224" s="3" t="s">
        <v>10</v>
      </c>
      <c r="H224" s="3">
        <v>9</v>
      </c>
      <c r="I224" s="5">
        <f t="shared" si="3"/>
        <v>46045</v>
      </c>
      <c r="J224" s="3">
        <f>IF(COUNTIFS($C$2:C224,C224,$I$2:I224,I224)=1,1,0)</f>
        <v>0</v>
      </c>
    </row>
    <row r="225" spans="1:10" x14ac:dyDescent="0.3">
      <c r="A225" s="3" t="s">
        <v>238</v>
      </c>
      <c r="B225" s="3">
        <v>224</v>
      </c>
      <c r="C225" s="3">
        <v>2</v>
      </c>
      <c r="D225" s="4">
        <v>46035.959722222222</v>
      </c>
      <c r="E225" s="3">
        <v>49</v>
      </c>
      <c r="F225" s="3" t="s">
        <v>24</v>
      </c>
      <c r="G225" s="3" t="s">
        <v>10</v>
      </c>
      <c r="H225" s="3">
        <v>58</v>
      </c>
      <c r="I225" s="5">
        <f t="shared" si="3"/>
        <v>46035</v>
      </c>
      <c r="J225" s="3">
        <f>IF(COUNTIFS($C$2:C225,C225,$I$2:I225,I225)=1,1,0)</f>
        <v>1</v>
      </c>
    </row>
    <row r="226" spans="1:10" x14ac:dyDescent="0.3">
      <c r="A226" s="3" t="s">
        <v>239</v>
      </c>
      <c r="B226" s="3">
        <v>161</v>
      </c>
      <c r="C226" s="3">
        <v>37</v>
      </c>
      <c r="D226" s="4">
        <v>46052.121527777781</v>
      </c>
      <c r="E226" s="3">
        <v>299</v>
      </c>
      <c r="F226" s="3" t="s">
        <v>12</v>
      </c>
      <c r="G226" s="3" t="s">
        <v>10</v>
      </c>
      <c r="H226" s="3">
        <v>54</v>
      </c>
      <c r="I226" s="5">
        <f t="shared" si="3"/>
        <v>46052</v>
      </c>
      <c r="J226" s="3">
        <f>IF(COUNTIFS($C$2:C226,C226,$I$2:I226,I226)=1,1,0)</f>
        <v>1</v>
      </c>
    </row>
    <row r="227" spans="1:10" x14ac:dyDescent="0.3">
      <c r="A227" s="3" t="s">
        <v>240</v>
      </c>
      <c r="B227" s="3">
        <v>328</v>
      </c>
      <c r="C227" s="3">
        <v>27</v>
      </c>
      <c r="D227" s="4">
        <v>46041.53125</v>
      </c>
      <c r="E227" s="3">
        <v>49</v>
      </c>
      <c r="F227" s="3" t="s">
        <v>12</v>
      </c>
      <c r="G227" s="3" t="s">
        <v>38</v>
      </c>
      <c r="H227" s="3">
        <v>37</v>
      </c>
      <c r="I227" s="5">
        <f t="shared" si="3"/>
        <v>46041</v>
      </c>
      <c r="J227" s="3">
        <f>IF(COUNTIFS($C$2:C227,C227,$I$2:I227,I227)=1,1,0)</f>
        <v>1</v>
      </c>
    </row>
    <row r="228" spans="1:10" x14ac:dyDescent="0.3">
      <c r="A228" s="3" t="s">
        <v>241</v>
      </c>
      <c r="B228" s="3">
        <v>167</v>
      </c>
      <c r="C228" s="3">
        <v>11</v>
      </c>
      <c r="D228" s="4">
        <v>46026.500694444447</v>
      </c>
      <c r="E228" s="3">
        <v>1499</v>
      </c>
      <c r="F228" s="3" t="s">
        <v>24</v>
      </c>
      <c r="G228" s="3" t="s">
        <v>25</v>
      </c>
      <c r="H228" s="3">
        <v>79</v>
      </c>
      <c r="I228" s="5">
        <f t="shared" si="3"/>
        <v>46026</v>
      </c>
      <c r="J228" s="3">
        <f>IF(COUNTIFS($C$2:C228,C228,$I$2:I228,I228)=1,1,0)</f>
        <v>1</v>
      </c>
    </row>
    <row r="229" spans="1:10" x14ac:dyDescent="0.3">
      <c r="A229" s="3" t="s">
        <v>242</v>
      </c>
      <c r="B229" s="3">
        <v>186</v>
      </c>
      <c r="C229" s="3">
        <v>6</v>
      </c>
      <c r="D229" s="4">
        <v>46037.956944444442</v>
      </c>
      <c r="E229" s="3">
        <v>49</v>
      </c>
      <c r="F229" s="3" t="s">
        <v>9</v>
      </c>
      <c r="G229" s="3" t="s">
        <v>10</v>
      </c>
      <c r="H229" s="3">
        <v>55</v>
      </c>
      <c r="I229" s="5">
        <f t="shared" si="3"/>
        <v>46037</v>
      </c>
      <c r="J229" s="3">
        <f>IF(COUNTIFS($C$2:C229,C229,$I$2:I229,I229)=1,1,0)</f>
        <v>1</v>
      </c>
    </row>
    <row r="230" spans="1:10" x14ac:dyDescent="0.3">
      <c r="A230" s="3" t="s">
        <v>243</v>
      </c>
      <c r="B230" s="3">
        <v>224</v>
      </c>
      <c r="C230" s="3">
        <v>38</v>
      </c>
      <c r="D230" s="4">
        <v>46050.135416666664</v>
      </c>
      <c r="E230" s="3">
        <v>299</v>
      </c>
      <c r="F230" s="3" t="s">
        <v>9</v>
      </c>
      <c r="G230" s="3" t="s">
        <v>25</v>
      </c>
      <c r="H230" s="3">
        <v>51</v>
      </c>
      <c r="I230" s="5">
        <f t="shared" si="3"/>
        <v>46050</v>
      </c>
      <c r="J230" s="3">
        <f>IF(COUNTIFS($C$2:C230,C230,$I$2:I230,I230)=1,1,0)</f>
        <v>1</v>
      </c>
    </row>
    <row r="231" spans="1:10" x14ac:dyDescent="0.3">
      <c r="A231" s="3" t="s">
        <v>244</v>
      </c>
      <c r="B231" s="3">
        <v>159</v>
      </c>
      <c r="C231" s="3">
        <v>22</v>
      </c>
      <c r="D231" s="4">
        <v>46039.100694444445</v>
      </c>
      <c r="E231" s="3">
        <v>799</v>
      </c>
      <c r="F231" s="3" t="s">
        <v>12</v>
      </c>
      <c r="G231" s="3" t="s">
        <v>10</v>
      </c>
      <c r="H231" s="3">
        <v>28</v>
      </c>
      <c r="I231" s="5">
        <f t="shared" si="3"/>
        <v>46039</v>
      </c>
      <c r="J231" s="3">
        <f>IF(COUNTIFS($C$2:C231,C231,$I$2:I231,I231)=1,1,0)</f>
        <v>0</v>
      </c>
    </row>
    <row r="232" spans="1:10" x14ac:dyDescent="0.3">
      <c r="A232" s="3" t="s">
        <v>245</v>
      </c>
      <c r="B232" s="3">
        <v>262</v>
      </c>
      <c r="C232" s="3">
        <v>8</v>
      </c>
      <c r="D232" s="4">
        <v>46033.211111111108</v>
      </c>
      <c r="E232" s="3">
        <v>149</v>
      </c>
      <c r="F232" s="3" t="s">
        <v>12</v>
      </c>
      <c r="G232" s="3" t="s">
        <v>10</v>
      </c>
      <c r="H232" s="3">
        <v>67</v>
      </c>
      <c r="I232" s="5">
        <f t="shared" si="3"/>
        <v>46033</v>
      </c>
      <c r="J232" s="3">
        <f>IF(COUNTIFS($C$2:C232,C232,$I$2:I232,I232)=1,1,0)</f>
        <v>1</v>
      </c>
    </row>
    <row r="233" spans="1:10" x14ac:dyDescent="0.3">
      <c r="A233" s="3" t="s">
        <v>246</v>
      </c>
      <c r="B233" s="3">
        <v>179</v>
      </c>
      <c r="C233" s="3">
        <v>23</v>
      </c>
      <c r="D233" s="4">
        <v>46039.289583333331</v>
      </c>
      <c r="E233" s="3">
        <v>49</v>
      </c>
      <c r="F233" s="3" t="s">
        <v>9</v>
      </c>
      <c r="G233" s="3" t="s">
        <v>10</v>
      </c>
      <c r="H233" s="3">
        <v>93</v>
      </c>
      <c r="I233" s="5">
        <f t="shared" si="3"/>
        <v>46039</v>
      </c>
      <c r="J233" s="3">
        <f>IF(COUNTIFS($C$2:C233,C233,$I$2:I233,I233)=1,1,0)</f>
        <v>1</v>
      </c>
    </row>
    <row r="234" spans="1:10" x14ac:dyDescent="0.3">
      <c r="A234" s="3" t="s">
        <v>247</v>
      </c>
      <c r="B234" s="3">
        <v>76</v>
      </c>
      <c r="C234" s="3">
        <v>16</v>
      </c>
      <c r="D234" s="4">
        <v>46049.869444444441</v>
      </c>
      <c r="E234" s="3">
        <v>299</v>
      </c>
      <c r="F234" s="3" t="s">
        <v>12</v>
      </c>
      <c r="G234" s="3" t="s">
        <v>10</v>
      </c>
      <c r="H234" s="3">
        <v>13</v>
      </c>
      <c r="I234" s="5">
        <f t="shared" si="3"/>
        <v>46049</v>
      </c>
      <c r="J234" s="3">
        <f>IF(COUNTIFS($C$2:C234,C234,$I$2:I234,I234)=1,1,0)</f>
        <v>0</v>
      </c>
    </row>
    <row r="235" spans="1:10" x14ac:dyDescent="0.3">
      <c r="A235" s="3" t="s">
        <v>248</v>
      </c>
      <c r="B235" s="3">
        <v>89</v>
      </c>
      <c r="C235" s="3">
        <v>39</v>
      </c>
      <c r="D235" s="4">
        <v>46027.341666666667</v>
      </c>
      <c r="E235" s="3">
        <v>299</v>
      </c>
      <c r="F235" s="3" t="s">
        <v>12</v>
      </c>
      <c r="G235" s="3" t="s">
        <v>10</v>
      </c>
      <c r="H235" s="3">
        <v>19</v>
      </c>
      <c r="I235" s="5">
        <f t="shared" si="3"/>
        <v>46027</v>
      </c>
      <c r="J235" s="3">
        <f>IF(COUNTIFS($C$2:C235,C235,$I$2:I235,I235)=1,1,0)</f>
        <v>1</v>
      </c>
    </row>
    <row r="236" spans="1:10" x14ac:dyDescent="0.3">
      <c r="A236" s="3" t="s">
        <v>249</v>
      </c>
      <c r="B236" s="3">
        <v>91</v>
      </c>
      <c r="C236" s="3">
        <v>32</v>
      </c>
      <c r="D236" s="4">
        <v>46047.836111111108</v>
      </c>
      <c r="E236" s="3">
        <v>49</v>
      </c>
      <c r="F236" s="3" t="s">
        <v>12</v>
      </c>
      <c r="G236" s="3" t="s">
        <v>10</v>
      </c>
      <c r="H236" s="3">
        <v>59</v>
      </c>
      <c r="I236" s="5">
        <f t="shared" si="3"/>
        <v>46047</v>
      </c>
      <c r="J236" s="3">
        <f>IF(COUNTIFS($C$2:C236,C236,$I$2:I236,I236)=1,1,0)</f>
        <v>1</v>
      </c>
    </row>
    <row r="237" spans="1:10" x14ac:dyDescent="0.3">
      <c r="A237" s="3" t="s">
        <v>250</v>
      </c>
      <c r="B237" s="3">
        <v>297</v>
      </c>
      <c r="C237" s="3">
        <v>29</v>
      </c>
      <c r="D237" s="4">
        <v>46047.783333333333</v>
      </c>
      <c r="E237" s="3">
        <v>99</v>
      </c>
      <c r="F237" s="3" t="s">
        <v>24</v>
      </c>
      <c r="G237" s="3" t="s">
        <v>38</v>
      </c>
      <c r="H237" s="3">
        <v>87</v>
      </c>
      <c r="I237" s="5">
        <f t="shared" si="3"/>
        <v>46047</v>
      </c>
      <c r="J237" s="3">
        <f>IF(COUNTIFS($C$2:C237,C237,$I$2:I237,I237)=1,1,0)</f>
        <v>0</v>
      </c>
    </row>
    <row r="238" spans="1:10" x14ac:dyDescent="0.3">
      <c r="A238" s="3" t="s">
        <v>251</v>
      </c>
      <c r="B238" s="3">
        <v>326</v>
      </c>
      <c r="C238" s="3">
        <v>40</v>
      </c>
      <c r="D238" s="4">
        <v>46052.77847222222</v>
      </c>
      <c r="E238" s="3">
        <v>499</v>
      </c>
      <c r="F238" s="3" t="s">
        <v>24</v>
      </c>
      <c r="G238" s="3" t="s">
        <v>10</v>
      </c>
      <c r="H238" s="3">
        <v>41</v>
      </c>
      <c r="I238" s="5">
        <f t="shared" si="3"/>
        <v>46052</v>
      </c>
      <c r="J238" s="3">
        <f>IF(COUNTIFS($C$2:C238,C238,$I$2:I238,I238)=1,1,0)</f>
        <v>1</v>
      </c>
    </row>
    <row r="239" spans="1:10" x14ac:dyDescent="0.3">
      <c r="A239" s="3" t="s">
        <v>252</v>
      </c>
      <c r="B239" s="3">
        <v>78</v>
      </c>
      <c r="C239" s="3">
        <v>29</v>
      </c>
      <c r="D239" s="4">
        <v>46050.847222222219</v>
      </c>
      <c r="E239" s="3">
        <v>149</v>
      </c>
      <c r="F239" s="3" t="s">
        <v>12</v>
      </c>
      <c r="G239" s="3" t="s">
        <v>10</v>
      </c>
      <c r="H239" s="3">
        <v>8</v>
      </c>
      <c r="I239" s="5">
        <f t="shared" si="3"/>
        <v>46050</v>
      </c>
      <c r="J239" s="3">
        <f>IF(COUNTIFS($C$2:C239,C239,$I$2:I239,I239)=1,1,0)</f>
        <v>1</v>
      </c>
    </row>
    <row r="240" spans="1:10" x14ac:dyDescent="0.3">
      <c r="A240" s="3" t="s">
        <v>253</v>
      </c>
      <c r="B240" s="3">
        <v>156</v>
      </c>
      <c r="C240" s="3">
        <v>18</v>
      </c>
      <c r="D240" s="4">
        <v>46038.611111111109</v>
      </c>
      <c r="E240" s="3">
        <v>2999</v>
      </c>
      <c r="F240" s="3" t="s">
        <v>24</v>
      </c>
      <c r="G240" s="3" t="s">
        <v>10</v>
      </c>
      <c r="H240" s="3">
        <v>75</v>
      </c>
      <c r="I240" s="5">
        <f t="shared" si="3"/>
        <v>46038</v>
      </c>
      <c r="J240" s="3">
        <f>IF(COUNTIFS($C$2:C240,C240,$I$2:I240,I240)=1,1,0)</f>
        <v>1</v>
      </c>
    </row>
    <row r="241" spans="1:10" x14ac:dyDescent="0.3">
      <c r="A241" s="3" t="s">
        <v>254</v>
      </c>
      <c r="B241" s="3">
        <v>38</v>
      </c>
      <c r="C241" s="3">
        <v>20</v>
      </c>
      <c r="D241" s="4">
        <v>46024.480555555558</v>
      </c>
      <c r="E241" s="3">
        <v>49</v>
      </c>
      <c r="F241" s="3" t="s">
        <v>9</v>
      </c>
      <c r="G241" s="3" t="s">
        <v>25</v>
      </c>
      <c r="H241" s="3">
        <v>59</v>
      </c>
      <c r="I241" s="5">
        <f t="shared" si="3"/>
        <v>46024</v>
      </c>
      <c r="J241" s="3">
        <f>IF(COUNTIFS($C$2:C241,C241,$I$2:I241,I241)=1,1,0)</f>
        <v>1</v>
      </c>
    </row>
    <row r="242" spans="1:10" x14ac:dyDescent="0.3">
      <c r="A242" s="3" t="s">
        <v>255</v>
      </c>
      <c r="B242" s="3">
        <v>189</v>
      </c>
      <c r="C242" s="3">
        <v>19</v>
      </c>
      <c r="D242" s="4">
        <v>46037.043749999997</v>
      </c>
      <c r="E242" s="3">
        <v>99</v>
      </c>
      <c r="F242" s="3" t="s">
        <v>12</v>
      </c>
      <c r="G242" s="3" t="s">
        <v>25</v>
      </c>
      <c r="H242" s="3">
        <v>9</v>
      </c>
      <c r="I242" s="5">
        <f t="shared" si="3"/>
        <v>46037</v>
      </c>
      <c r="J242" s="3">
        <f>IF(COUNTIFS($C$2:C242,C242,$I$2:I242,I242)=1,1,0)</f>
        <v>0</v>
      </c>
    </row>
    <row r="243" spans="1:10" x14ac:dyDescent="0.3">
      <c r="A243" s="3" t="s">
        <v>256</v>
      </c>
      <c r="B243" s="3">
        <v>305</v>
      </c>
      <c r="C243" s="3">
        <v>33</v>
      </c>
      <c r="D243" s="4">
        <v>46043.11041666667</v>
      </c>
      <c r="E243" s="3">
        <v>299</v>
      </c>
      <c r="F243" s="3" t="s">
        <v>24</v>
      </c>
      <c r="G243" s="3" t="s">
        <v>10</v>
      </c>
      <c r="H243" s="3">
        <v>49</v>
      </c>
      <c r="I243" s="5">
        <f t="shared" si="3"/>
        <v>46043</v>
      </c>
      <c r="J243" s="3">
        <f>IF(COUNTIFS($C$2:C243,C243,$I$2:I243,I243)=1,1,0)</f>
        <v>0</v>
      </c>
    </row>
    <row r="244" spans="1:10" x14ac:dyDescent="0.3">
      <c r="A244" s="3" t="s">
        <v>257</v>
      </c>
      <c r="B244" s="3">
        <v>22</v>
      </c>
      <c r="C244" s="3">
        <v>29</v>
      </c>
      <c r="D244" s="4">
        <v>46037.774305555555</v>
      </c>
      <c r="E244" s="3">
        <v>799</v>
      </c>
      <c r="F244" s="3" t="s">
        <v>12</v>
      </c>
      <c r="G244" s="3" t="s">
        <v>10</v>
      </c>
      <c r="H244" s="3">
        <v>73</v>
      </c>
      <c r="I244" s="5">
        <f t="shared" si="3"/>
        <v>46037</v>
      </c>
      <c r="J244" s="3">
        <f>IF(COUNTIFS($C$2:C244,C244,$I$2:I244,I244)=1,1,0)</f>
        <v>0</v>
      </c>
    </row>
    <row r="245" spans="1:10" x14ac:dyDescent="0.3">
      <c r="A245" s="3" t="s">
        <v>258</v>
      </c>
      <c r="B245" s="3">
        <v>310</v>
      </c>
      <c r="C245" s="3">
        <v>31</v>
      </c>
      <c r="D245" s="4">
        <v>46043.263888888891</v>
      </c>
      <c r="E245" s="3">
        <v>49</v>
      </c>
      <c r="F245" s="3" t="s">
        <v>24</v>
      </c>
      <c r="G245" s="3" t="s">
        <v>10</v>
      </c>
      <c r="H245" s="3">
        <v>64</v>
      </c>
      <c r="I245" s="5">
        <f t="shared" si="3"/>
        <v>46043</v>
      </c>
      <c r="J245" s="3">
        <f>IF(COUNTIFS($C$2:C245,C245,$I$2:I245,I245)=1,1,0)</f>
        <v>1</v>
      </c>
    </row>
    <row r="246" spans="1:10" x14ac:dyDescent="0.3">
      <c r="A246" s="3" t="s">
        <v>259</v>
      </c>
      <c r="B246" s="3">
        <v>53</v>
      </c>
      <c r="C246" s="3">
        <v>22</v>
      </c>
      <c r="D246" s="4">
        <v>46027.061111111114</v>
      </c>
      <c r="E246" s="3">
        <v>299</v>
      </c>
      <c r="F246" s="3" t="s">
        <v>12</v>
      </c>
      <c r="G246" s="3" t="s">
        <v>10</v>
      </c>
      <c r="H246" s="3">
        <v>91</v>
      </c>
      <c r="I246" s="5">
        <f t="shared" si="3"/>
        <v>46027</v>
      </c>
      <c r="J246" s="3">
        <f>IF(COUNTIFS($C$2:C246,C246,$I$2:I246,I246)=1,1,0)</f>
        <v>0</v>
      </c>
    </row>
    <row r="247" spans="1:10" x14ac:dyDescent="0.3">
      <c r="A247" s="3" t="s">
        <v>260</v>
      </c>
      <c r="B247" s="3">
        <v>89</v>
      </c>
      <c r="C247" s="3">
        <v>3</v>
      </c>
      <c r="D247" s="4">
        <v>46025.695138888892</v>
      </c>
      <c r="E247" s="3">
        <v>149</v>
      </c>
      <c r="F247" s="3" t="s">
        <v>24</v>
      </c>
      <c r="G247" s="3" t="s">
        <v>10</v>
      </c>
      <c r="H247" s="3">
        <v>31</v>
      </c>
      <c r="I247" s="5">
        <f t="shared" si="3"/>
        <v>46025</v>
      </c>
      <c r="J247" s="3">
        <f>IF(COUNTIFS($C$2:C247,C247,$I$2:I247,I247)=1,1,0)</f>
        <v>1</v>
      </c>
    </row>
    <row r="248" spans="1:10" x14ac:dyDescent="0.3">
      <c r="A248" s="3" t="s">
        <v>261</v>
      </c>
      <c r="B248" s="3">
        <v>269</v>
      </c>
      <c r="C248" s="3">
        <v>34</v>
      </c>
      <c r="D248" s="4">
        <v>46045.602777777778</v>
      </c>
      <c r="E248" s="3">
        <v>149</v>
      </c>
      <c r="F248" s="3" t="s">
        <v>12</v>
      </c>
      <c r="G248" s="3" t="s">
        <v>10</v>
      </c>
      <c r="H248" s="3">
        <v>78</v>
      </c>
      <c r="I248" s="5">
        <f t="shared" si="3"/>
        <v>46045</v>
      </c>
      <c r="J248" s="3">
        <f>IF(COUNTIFS($C$2:C248,C248,$I$2:I248,I248)=1,1,0)</f>
        <v>0</v>
      </c>
    </row>
    <row r="249" spans="1:10" x14ac:dyDescent="0.3">
      <c r="A249" s="3" t="s">
        <v>262</v>
      </c>
      <c r="B249" s="3">
        <v>145</v>
      </c>
      <c r="C249" s="3">
        <v>25</v>
      </c>
      <c r="D249" s="4">
        <v>46028.474305555559</v>
      </c>
      <c r="E249" s="3">
        <v>799</v>
      </c>
      <c r="F249" s="3" t="s">
        <v>12</v>
      </c>
      <c r="G249" s="3" t="s">
        <v>10</v>
      </c>
      <c r="H249" s="3">
        <v>52</v>
      </c>
      <c r="I249" s="5">
        <f t="shared" si="3"/>
        <v>46028</v>
      </c>
      <c r="J249" s="3">
        <f>IF(COUNTIFS($C$2:C249,C249,$I$2:I249,I249)=1,1,0)</f>
        <v>1</v>
      </c>
    </row>
    <row r="250" spans="1:10" x14ac:dyDescent="0.3">
      <c r="A250" s="3" t="s">
        <v>263</v>
      </c>
      <c r="B250" s="3">
        <v>307</v>
      </c>
      <c r="C250" s="3">
        <v>4</v>
      </c>
      <c r="D250" s="4">
        <v>46047.446527777778</v>
      </c>
      <c r="E250" s="3">
        <v>1499</v>
      </c>
      <c r="F250" s="3" t="s">
        <v>12</v>
      </c>
      <c r="G250" s="3" t="s">
        <v>10</v>
      </c>
      <c r="H250" s="3">
        <v>80</v>
      </c>
      <c r="I250" s="5">
        <f t="shared" si="3"/>
        <v>46047</v>
      </c>
      <c r="J250" s="3">
        <f>IF(COUNTIFS($C$2:C250,C250,$I$2:I250,I250)=1,1,0)</f>
        <v>0</v>
      </c>
    </row>
    <row r="251" spans="1:10" x14ac:dyDescent="0.3">
      <c r="A251" s="3" t="s">
        <v>264</v>
      </c>
      <c r="B251" s="3">
        <v>169</v>
      </c>
      <c r="C251" s="3">
        <v>7</v>
      </c>
      <c r="D251" s="4">
        <v>46043.419444444444</v>
      </c>
      <c r="E251" s="3">
        <v>1499</v>
      </c>
      <c r="F251" s="3" t="s">
        <v>9</v>
      </c>
      <c r="G251" s="3" t="s">
        <v>10</v>
      </c>
      <c r="H251" s="3">
        <v>71</v>
      </c>
      <c r="I251" s="5">
        <f t="shared" si="3"/>
        <v>46043</v>
      </c>
      <c r="J251" s="3">
        <f>IF(COUNTIFS($C$2:C251,C251,$I$2:I251,I251)=1,1,0)</f>
        <v>1</v>
      </c>
    </row>
    <row r="252" spans="1:10" x14ac:dyDescent="0.3">
      <c r="A252" s="3" t="s">
        <v>265</v>
      </c>
      <c r="B252" s="3">
        <v>130</v>
      </c>
      <c r="C252" s="3">
        <v>39</v>
      </c>
      <c r="D252" s="4">
        <v>46044.512499999997</v>
      </c>
      <c r="E252" s="3">
        <v>2999</v>
      </c>
      <c r="F252" s="3" t="s">
        <v>9</v>
      </c>
      <c r="G252" s="3" t="s">
        <v>10</v>
      </c>
      <c r="H252" s="3">
        <v>19</v>
      </c>
      <c r="I252" s="5">
        <f t="shared" si="3"/>
        <v>46044</v>
      </c>
      <c r="J252" s="3">
        <f>IF(COUNTIFS($C$2:C252,C252,$I$2:I252,I252)=1,1,0)</f>
        <v>0</v>
      </c>
    </row>
    <row r="253" spans="1:10" x14ac:dyDescent="0.3">
      <c r="A253" s="3" t="s">
        <v>266</v>
      </c>
      <c r="B253" s="3">
        <v>340</v>
      </c>
      <c r="C253" s="3">
        <v>10</v>
      </c>
      <c r="D253" s="4">
        <v>46033.109027777777</v>
      </c>
      <c r="E253" s="3">
        <v>49</v>
      </c>
      <c r="F253" s="3" t="s">
        <v>24</v>
      </c>
      <c r="G253" s="3" t="s">
        <v>10</v>
      </c>
      <c r="H253" s="3">
        <v>44</v>
      </c>
      <c r="I253" s="5">
        <f t="shared" si="3"/>
        <v>46033</v>
      </c>
      <c r="J253" s="3">
        <f>IF(COUNTIFS($C$2:C253,C253,$I$2:I253,I253)=1,1,0)</f>
        <v>1</v>
      </c>
    </row>
    <row r="254" spans="1:10" x14ac:dyDescent="0.3">
      <c r="A254" s="3" t="s">
        <v>267</v>
      </c>
      <c r="B254" s="3">
        <v>340</v>
      </c>
      <c r="C254" s="3">
        <v>26</v>
      </c>
      <c r="D254" s="4">
        <v>46032.863888888889</v>
      </c>
      <c r="E254" s="3">
        <v>299</v>
      </c>
      <c r="F254" s="3" t="s">
        <v>24</v>
      </c>
      <c r="G254" s="3" t="s">
        <v>10</v>
      </c>
      <c r="H254" s="3">
        <v>16</v>
      </c>
      <c r="I254" s="5">
        <f t="shared" si="3"/>
        <v>46032</v>
      </c>
      <c r="J254" s="3">
        <f>IF(COUNTIFS($C$2:C254,C254,$I$2:I254,I254)=1,1,0)</f>
        <v>1</v>
      </c>
    </row>
    <row r="255" spans="1:10" x14ac:dyDescent="0.3">
      <c r="A255" s="3" t="s">
        <v>268</v>
      </c>
      <c r="B255" s="3">
        <v>159</v>
      </c>
      <c r="C255" s="3">
        <v>36</v>
      </c>
      <c r="D255" s="4">
        <v>46042.920138888891</v>
      </c>
      <c r="E255" s="3">
        <v>49</v>
      </c>
      <c r="F255" s="3" t="s">
        <v>12</v>
      </c>
      <c r="G255" s="3" t="s">
        <v>10</v>
      </c>
      <c r="H255" s="3">
        <v>48</v>
      </c>
      <c r="I255" s="5">
        <f t="shared" si="3"/>
        <v>46042</v>
      </c>
      <c r="J255" s="3">
        <f>IF(COUNTIFS($C$2:C255,C255,$I$2:I255,I255)=1,1,0)</f>
        <v>1</v>
      </c>
    </row>
    <row r="256" spans="1:10" x14ac:dyDescent="0.3">
      <c r="A256" s="3" t="s">
        <v>269</v>
      </c>
      <c r="B256" s="3">
        <v>66</v>
      </c>
      <c r="C256" s="3">
        <v>34</v>
      </c>
      <c r="D256" s="4">
        <v>46043.452777777777</v>
      </c>
      <c r="E256" s="3">
        <v>799</v>
      </c>
      <c r="F256" s="3" t="s">
        <v>12</v>
      </c>
      <c r="G256" s="3" t="s">
        <v>10</v>
      </c>
      <c r="H256" s="3">
        <v>11</v>
      </c>
      <c r="I256" s="5">
        <f t="shared" si="3"/>
        <v>46043</v>
      </c>
      <c r="J256" s="3">
        <f>IF(COUNTIFS($C$2:C256,C256,$I$2:I256,I256)=1,1,0)</f>
        <v>1</v>
      </c>
    </row>
    <row r="257" spans="1:10" x14ac:dyDescent="0.3">
      <c r="A257" s="3" t="s">
        <v>270</v>
      </c>
      <c r="B257" s="3">
        <v>261</v>
      </c>
      <c r="C257" s="3">
        <v>24</v>
      </c>
      <c r="D257" s="4">
        <v>46043.893750000003</v>
      </c>
      <c r="E257" s="3">
        <v>799</v>
      </c>
      <c r="F257" s="3" t="s">
        <v>24</v>
      </c>
      <c r="G257" s="3" t="s">
        <v>10</v>
      </c>
      <c r="H257" s="3">
        <v>2</v>
      </c>
      <c r="I257" s="5">
        <f t="shared" si="3"/>
        <v>46043</v>
      </c>
      <c r="J257" s="3">
        <f>IF(COUNTIFS($C$2:C257,C257,$I$2:I257,I257)=1,1,0)</f>
        <v>1</v>
      </c>
    </row>
    <row r="258" spans="1:10" x14ac:dyDescent="0.3">
      <c r="A258" s="3" t="s">
        <v>271</v>
      </c>
      <c r="B258" s="3">
        <v>110</v>
      </c>
      <c r="C258" s="3">
        <v>22</v>
      </c>
      <c r="D258" s="4">
        <v>46034.382638888892</v>
      </c>
      <c r="E258" s="3">
        <v>799</v>
      </c>
      <c r="F258" s="3" t="s">
        <v>12</v>
      </c>
      <c r="G258" s="3" t="s">
        <v>10</v>
      </c>
      <c r="H258" s="3">
        <v>98</v>
      </c>
      <c r="I258" s="5">
        <f t="shared" si="3"/>
        <v>46034</v>
      </c>
      <c r="J258" s="3">
        <f>IF(COUNTIFS($C$2:C258,C258,$I$2:I258,I258)=1,1,0)</f>
        <v>1</v>
      </c>
    </row>
    <row r="259" spans="1:10" x14ac:dyDescent="0.3">
      <c r="A259" s="3" t="s">
        <v>272</v>
      </c>
      <c r="B259" s="3">
        <v>71</v>
      </c>
      <c r="C259" s="3">
        <v>10</v>
      </c>
      <c r="D259" s="4">
        <v>46038.259722222225</v>
      </c>
      <c r="E259" s="3">
        <v>49</v>
      </c>
      <c r="F259" s="3" t="s">
        <v>12</v>
      </c>
      <c r="G259" s="3" t="s">
        <v>10</v>
      </c>
      <c r="H259" s="3">
        <v>9</v>
      </c>
      <c r="I259" s="5">
        <f t="shared" ref="I259:I322" si="4">INT(D259)</f>
        <v>46038</v>
      </c>
      <c r="J259" s="3">
        <f>IF(COUNTIFS($C$2:C259,C259,$I$2:I259,I259)=1,1,0)</f>
        <v>1</v>
      </c>
    </row>
    <row r="260" spans="1:10" x14ac:dyDescent="0.3">
      <c r="A260" s="3" t="s">
        <v>273</v>
      </c>
      <c r="B260" s="3">
        <v>277</v>
      </c>
      <c r="C260" s="3">
        <v>34</v>
      </c>
      <c r="D260" s="4">
        <v>46032.147222222222</v>
      </c>
      <c r="E260" s="3">
        <v>49</v>
      </c>
      <c r="F260" s="3" t="s">
        <v>12</v>
      </c>
      <c r="G260" s="3" t="s">
        <v>10</v>
      </c>
      <c r="H260" s="3">
        <v>4</v>
      </c>
      <c r="I260" s="5">
        <f t="shared" si="4"/>
        <v>46032</v>
      </c>
      <c r="J260" s="3">
        <f>IF(COUNTIFS($C$2:C260,C260,$I$2:I260,I260)=1,1,0)</f>
        <v>1</v>
      </c>
    </row>
    <row r="261" spans="1:10" x14ac:dyDescent="0.3">
      <c r="A261" s="3" t="s">
        <v>274</v>
      </c>
      <c r="B261" s="3">
        <v>317</v>
      </c>
      <c r="C261" s="3">
        <v>9</v>
      </c>
      <c r="D261" s="4">
        <v>46044.455555555556</v>
      </c>
      <c r="E261" s="3">
        <v>499</v>
      </c>
      <c r="F261" s="3" t="s">
        <v>9</v>
      </c>
      <c r="G261" s="3" t="s">
        <v>10</v>
      </c>
      <c r="H261" s="3">
        <v>76</v>
      </c>
      <c r="I261" s="5">
        <f t="shared" si="4"/>
        <v>46044</v>
      </c>
      <c r="J261" s="3">
        <f>IF(COUNTIFS($C$2:C261,C261,$I$2:I261,I261)=1,1,0)</f>
        <v>1</v>
      </c>
    </row>
    <row r="262" spans="1:10" x14ac:dyDescent="0.3">
      <c r="A262" s="3" t="s">
        <v>275</v>
      </c>
      <c r="B262" s="3">
        <v>93</v>
      </c>
      <c r="C262" s="3">
        <v>40</v>
      </c>
      <c r="D262" s="4">
        <v>46035.173611111109</v>
      </c>
      <c r="E262" s="3">
        <v>299</v>
      </c>
      <c r="F262" s="3" t="s">
        <v>12</v>
      </c>
      <c r="G262" s="3" t="s">
        <v>10</v>
      </c>
      <c r="H262" s="3">
        <v>21</v>
      </c>
      <c r="I262" s="5">
        <f t="shared" si="4"/>
        <v>46035</v>
      </c>
      <c r="J262" s="3">
        <f>IF(COUNTIFS($C$2:C262,C262,$I$2:I262,I262)=1,1,0)</f>
        <v>1</v>
      </c>
    </row>
    <row r="263" spans="1:10" x14ac:dyDescent="0.3">
      <c r="A263" s="3" t="s">
        <v>276</v>
      </c>
      <c r="B263" s="3">
        <v>211</v>
      </c>
      <c r="C263" s="3">
        <v>24</v>
      </c>
      <c r="D263" s="4">
        <v>46046.584722222222</v>
      </c>
      <c r="E263" s="3">
        <v>99</v>
      </c>
      <c r="F263" s="3" t="s">
        <v>15</v>
      </c>
      <c r="G263" s="3" t="s">
        <v>10</v>
      </c>
      <c r="H263" s="3">
        <v>86</v>
      </c>
      <c r="I263" s="5">
        <f t="shared" si="4"/>
        <v>46046</v>
      </c>
      <c r="J263" s="3">
        <f>IF(COUNTIFS($C$2:C263,C263,$I$2:I263,I263)=1,1,0)</f>
        <v>0</v>
      </c>
    </row>
    <row r="264" spans="1:10" x14ac:dyDescent="0.3">
      <c r="A264" s="3" t="s">
        <v>277</v>
      </c>
      <c r="B264" s="3">
        <v>313</v>
      </c>
      <c r="C264" s="3">
        <v>19</v>
      </c>
      <c r="D264" s="4">
        <v>46046.311111111114</v>
      </c>
      <c r="E264" s="3">
        <v>149</v>
      </c>
      <c r="F264" s="3" t="s">
        <v>12</v>
      </c>
      <c r="G264" s="3" t="s">
        <v>10</v>
      </c>
      <c r="H264" s="3">
        <v>96</v>
      </c>
      <c r="I264" s="5">
        <f t="shared" si="4"/>
        <v>46046</v>
      </c>
      <c r="J264" s="3">
        <f>IF(COUNTIFS($C$2:C264,C264,$I$2:I264,I264)=1,1,0)</f>
        <v>1</v>
      </c>
    </row>
    <row r="265" spans="1:10" x14ac:dyDescent="0.3">
      <c r="A265" s="3" t="s">
        <v>278</v>
      </c>
      <c r="B265" s="3">
        <v>274</v>
      </c>
      <c r="C265" s="3">
        <v>16</v>
      </c>
      <c r="D265" s="4">
        <v>46046.593055555553</v>
      </c>
      <c r="E265" s="3">
        <v>49</v>
      </c>
      <c r="F265" s="3" t="s">
        <v>9</v>
      </c>
      <c r="G265" s="3" t="s">
        <v>25</v>
      </c>
      <c r="H265" s="3">
        <v>39</v>
      </c>
      <c r="I265" s="5">
        <f t="shared" si="4"/>
        <v>46046</v>
      </c>
      <c r="J265" s="3">
        <f>IF(COUNTIFS($C$2:C265,C265,$I$2:I265,I265)=1,1,0)</f>
        <v>1</v>
      </c>
    </row>
    <row r="266" spans="1:10" x14ac:dyDescent="0.3">
      <c r="A266" s="3" t="s">
        <v>279</v>
      </c>
      <c r="B266" s="3">
        <v>100</v>
      </c>
      <c r="C266" s="3">
        <v>24</v>
      </c>
      <c r="D266" s="4">
        <v>46048.664583333331</v>
      </c>
      <c r="E266" s="3">
        <v>299</v>
      </c>
      <c r="F266" s="3" t="s">
        <v>12</v>
      </c>
      <c r="G266" s="3" t="s">
        <v>10</v>
      </c>
      <c r="H266" s="3">
        <v>86</v>
      </c>
      <c r="I266" s="5">
        <f t="shared" si="4"/>
        <v>46048</v>
      </c>
      <c r="J266" s="3">
        <f>IF(COUNTIFS($C$2:C266,C266,$I$2:I266,I266)=1,1,0)</f>
        <v>0</v>
      </c>
    </row>
    <row r="267" spans="1:10" x14ac:dyDescent="0.3">
      <c r="A267" s="3" t="s">
        <v>280</v>
      </c>
      <c r="B267" s="3">
        <v>145</v>
      </c>
      <c r="C267" s="3">
        <v>25</v>
      </c>
      <c r="D267" s="4">
        <v>46041.603472222225</v>
      </c>
      <c r="E267" s="3">
        <v>2999</v>
      </c>
      <c r="F267" s="3" t="s">
        <v>9</v>
      </c>
      <c r="G267" s="3" t="s">
        <v>10</v>
      </c>
      <c r="H267" s="3">
        <v>64</v>
      </c>
      <c r="I267" s="5">
        <f t="shared" si="4"/>
        <v>46041</v>
      </c>
      <c r="J267" s="3">
        <f>IF(COUNTIFS($C$2:C267,C267,$I$2:I267,I267)=1,1,0)</f>
        <v>0</v>
      </c>
    </row>
    <row r="268" spans="1:10" x14ac:dyDescent="0.3">
      <c r="A268" s="3" t="s">
        <v>281</v>
      </c>
      <c r="B268" s="3">
        <v>103</v>
      </c>
      <c r="C268" s="3">
        <v>39</v>
      </c>
      <c r="D268" s="4">
        <v>46039.548611111109</v>
      </c>
      <c r="E268" s="3">
        <v>2999</v>
      </c>
      <c r="F268" s="3" t="s">
        <v>9</v>
      </c>
      <c r="G268" s="3" t="s">
        <v>10</v>
      </c>
      <c r="H268" s="3">
        <v>17</v>
      </c>
      <c r="I268" s="5">
        <f t="shared" si="4"/>
        <v>46039</v>
      </c>
      <c r="J268" s="3">
        <f>IF(COUNTIFS($C$2:C268,C268,$I$2:I268,I268)=1,1,0)</f>
        <v>1</v>
      </c>
    </row>
    <row r="269" spans="1:10" x14ac:dyDescent="0.3">
      <c r="A269" s="3" t="s">
        <v>282</v>
      </c>
      <c r="B269" s="3">
        <v>329</v>
      </c>
      <c r="C269" s="3">
        <v>31</v>
      </c>
      <c r="D269" s="4">
        <v>46050.335416666669</v>
      </c>
      <c r="E269" s="3">
        <v>299</v>
      </c>
      <c r="F269" s="3" t="s">
        <v>9</v>
      </c>
      <c r="G269" s="3" t="s">
        <v>10</v>
      </c>
      <c r="H269" s="3">
        <v>47</v>
      </c>
      <c r="I269" s="5">
        <f t="shared" si="4"/>
        <v>46050</v>
      </c>
      <c r="J269" s="3">
        <f>IF(COUNTIFS($C$2:C269,C269,$I$2:I269,I269)=1,1,0)</f>
        <v>1</v>
      </c>
    </row>
    <row r="270" spans="1:10" x14ac:dyDescent="0.3">
      <c r="A270" s="3" t="s">
        <v>283</v>
      </c>
      <c r="B270" s="3">
        <v>265</v>
      </c>
      <c r="C270" s="3">
        <v>8</v>
      </c>
      <c r="D270" s="4">
        <v>46040.15625</v>
      </c>
      <c r="E270" s="3">
        <v>499</v>
      </c>
      <c r="F270" s="3" t="s">
        <v>15</v>
      </c>
      <c r="G270" s="3" t="s">
        <v>10</v>
      </c>
      <c r="H270" s="3">
        <v>36</v>
      </c>
      <c r="I270" s="5">
        <f t="shared" si="4"/>
        <v>46040</v>
      </c>
      <c r="J270" s="3">
        <f>IF(COUNTIFS($C$2:C270,C270,$I$2:I270,I270)=1,1,0)</f>
        <v>1</v>
      </c>
    </row>
    <row r="271" spans="1:10" x14ac:dyDescent="0.3">
      <c r="A271" s="3" t="s">
        <v>284</v>
      </c>
      <c r="B271" s="3">
        <v>231</v>
      </c>
      <c r="C271" s="3">
        <v>33</v>
      </c>
      <c r="D271" s="4">
        <v>46025.220138888886</v>
      </c>
      <c r="E271" s="3">
        <v>149</v>
      </c>
      <c r="F271" s="3" t="s">
        <v>12</v>
      </c>
      <c r="G271" s="3" t="s">
        <v>25</v>
      </c>
      <c r="H271" s="3">
        <v>18</v>
      </c>
      <c r="I271" s="5">
        <f t="shared" si="4"/>
        <v>46025</v>
      </c>
      <c r="J271" s="3">
        <f>IF(COUNTIFS($C$2:C271,C271,$I$2:I271,I271)=1,1,0)</f>
        <v>1</v>
      </c>
    </row>
    <row r="272" spans="1:10" x14ac:dyDescent="0.3">
      <c r="A272" s="3" t="s">
        <v>285</v>
      </c>
      <c r="B272" s="3">
        <v>114</v>
      </c>
      <c r="C272" s="3">
        <v>29</v>
      </c>
      <c r="D272" s="4">
        <v>46049.545138888891</v>
      </c>
      <c r="E272" s="3">
        <v>799</v>
      </c>
      <c r="F272" s="3" t="s">
        <v>12</v>
      </c>
      <c r="G272" s="3" t="s">
        <v>38</v>
      </c>
      <c r="H272" s="3">
        <v>44</v>
      </c>
      <c r="I272" s="5">
        <f t="shared" si="4"/>
        <v>46049</v>
      </c>
      <c r="J272" s="3">
        <f>IF(COUNTIFS($C$2:C272,C272,$I$2:I272,I272)=1,1,0)</f>
        <v>0</v>
      </c>
    </row>
    <row r="273" spans="1:10" x14ac:dyDescent="0.3">
      <c r="A273" s="3" t="s">
        <v>286</v>
      </c>
      <c r="B273" s="3">
        <v>28</v>
      </c>
      <c r="C273" s="3">
        <v>26</v>
      </c>
      <c r="D273" s="4">
        <v>46052.018055555556</v>
      </c>
      <c r="E273" s="3">
        <v>1499</v>
      </c>
      <c r="F273" s="3" t="s">
        <v>12</v>
      </c>
      <c r="G273" s="3" t="s">
        <v>25</v>
      </c>
      <c r="H273" s="3">
        <v>64</v>
      </c>
      <c r="I273" s="5">
        <f t="shared" si="4"/>
        <v>46052</v>
      </c>
      <c r="J273" s="3">
        <f>IF(COUNTIFS($C$2:C273,C273,$I$2:I273,I273)=1,1,0)</f>
        <v>1</v>
      </c>
    </row>
    <row r="274" spans="1:10" x14ac:dyDescent="0.3">
      <c r="A274" s="3" t="s">
        <v>287</v>
      </c>
      <c r="B274" s="3">
        <v>42</v>
      </c>
      <c r="C274" s="3">
        <v>24</v>
      </c>
      <c r="D274" s="4">
        <v>46034.308333333334</v>
      </c>
      <c r="E274" s="3">
        <v>149</v>
      </c>
      <c r="F274" s="3" t="s">
        <v>12</v>
      </c>
      <c r="G274" s="3" t="s">
        <v>10</v>
      </c>
      <c r="H274" s="3">
        <v>28</v>
      </c>
      <c r="I274" s="5">
        <f t="shared" si="4"/>
        <v>46034</v>
      </c>
      <c r="J274" s="3">
        <f>IF(COUNTIFS($C$2:C274,C274,$I$2:I274,I274)=1,1,0)</f>
        <v>1</v>
      </c>
    </row>
    <row r="275" spans="1:10" x14ac:dyDescent="0.3">
      <c r="A275" s="3" t="s">
        <v>288</v>
      </c>
      <c r="B275" s="3">
        <v>51</v>
      </c>
      <c r="C275" s="3">
        <v>22</v>
      </c>
      <c r="D275" s="4">
        <v>46023.457638888889</v>
      </c>
      <c r="E275" s="3">
        <v>799</v>
      </c>
      <c r="F275" s="3" t="s">
        <v>12</v>
      </c>
      <c r="G275" s="3" t="s">
        <v>10</v>
      </c>
      <c r="H275" s="3">
        <v>18</v>
      </c>
      <c r="I275" s="5">
        <f t="shared" si="4"/>
        <v>46023</v>
      </c>
      <c r="J275" s="3">
        <f>IF(COUNTIFS($C$2:C275,C275,$I$2:I275,I275)=1,1,0)</f>
        <v>1</v>
      </c>
    </row>
    <row r="276" spans="1:10" x14ac:dyDescent="0.3">
      <c r="A276" s="3" t="s">
        <v>289</v>
      </c>
      <c r="B276" s="3">
        <v>242</v>
      </c>
      <c r="C276" s="3">
        <v>9</v>
      </c>
      <c r="D276" s="4">
        <v>46027.054166666669</v>
      </c>
      <c r="E276" s="3">
        <v>149</v>
      </c>
      <c r="F276" s="3" t="s">
        <v>12</v>
      </c>
      <c r="G276" s="3" t="s">
        <v>10</v>
      </c>
      <c r="H276" s="3">
        <v>97</v>
      </c>
      <c r="I276" s="5">
        <f t="shared" si="4"/>
        <v>46027</v>
      </c>
      <c r="J276" s="3">
        <f>IF(COUNTIFS($C$2:C276,C276,$I$2:I276,I276)=1,1,0)</f>
        <v>1</v>
      </c>
    </row>
    <row r="277" spans="1:10" x14ac:dyDescent="0.3">
      <c r="A277" s="3" t="s">
        <v>290</v>
      </c>
      <c r="B277" s="3">
        <v>316</v>
      </c>
      <c r="C277" s="3">
        <v>1</v>
      </c>
      <c r="D277" s="4">
        <v>46045.644444444442</v>
      </c>
      <c r="E277" s="3">
        <v>149</v>
      </c>
      <c r="F277" s="3" t="s">
        <v>12</v>
      </c>
      <c r="G277" s="3" t="s">
        <v>10</v>
      </c>
      <c r="H277" s="3">
        <v>10</v>
      </c>
      <c r="I277" s="5">
        <f t="shared" si="4"/>
        <v>46045</v>
      </c>
      <c r="J277" s="3">
        <f>IF(COUNTIFS($C$2:C277,C277,$I$2:I277,I277)=1,1,0)</f>
        <v>0</v>
      </c>
    </row>
    <row r="278" spans="1:10" x14ac:dyDescent="0.3">
      <c r="A278" s="3" t="s">
        <v>291</v>
      </c>
      <c r="B278" s="3">
        <v>77</v>
      </c>
      <c r="C278" s="3">
        <v>36</v>
      </c>
      <c r="D278" s="4">
        <v>46023.342361111114</v>
      </c>
      <c r="E278" s="3">
        <v>149</v>
      </c>
      <c r="F278" s="3" t="s">
        <v>12</v>
      </c>
      <c r="G278" s="3" t="s">
        <v>10</v>
      </c>
      <c r="H278" s="3">
        <v>93</v>
      </c>
      <c r="I278" s="5">
        <f t="shared" si="4"/>
        <v>46023</v>
      </c>
      <c r="J278" s="3">
        <f>IF(COUNTIFS($C$2:C278,C278,$I$2:I278,I278)=1,1,0)</f>
        <v>1</v>
      </c>
    </row>
    <row r="279" spans="1:10" x14ac:dyDescent="0.3">
      <c r="A279" s="3" t="s">
        <v>292</v>
      </c>
      <c r="B279" s="3">
        <v>57</v>
      </c>
      <c r="C279" s="3">
        <v>19</v>
      </c>
      <c r="D279" s="4">
        <v>46042.685416666667</v>
      </c>
      <c r="E279" s="3">
        <v>49</v>
      </c>
      <c r="F279" s="3" t="s">
        <v>12</v>
      </c>
      <c r="G279" s="3" t="s">
        <v>10</v>
      </c>
      <c r="H279" s="3">
        <v>30</v>
      </c>
      <c r="I279" s="5">
        <f t="shared" si="4"/>
        <v>46042</v>
      </c>
      <c r="J279" s="3">
        <f>IF(COUNTIFS($C$2:C279,C279,$I$2:I279,I279)=1,1,0)</f>
        <v>1</v>
      </c>
    </row>
    <row r="280" spans="1:10" x14ac:dyDescent="0.3">
      <c r="A280" s="3" t="s">
        <v>293</v>
      </c>
      <c r="B280" s="3">
        <v>123</v>
      </c>
      <c r="C280" s="3">
        <v>27</v>
      </c>
      <c r="D280" s="4">
        <v>46032.127083333333</v>
      </c>
      <c r="E280" s="3">
        <v>149</v>
      </c>
      <c r="F280" s="3" t="s">
        <v>15</v>
      </c>
      <c r="G280" s="3" t="s">
        <v>10</v>
      </c>
      <c r="H280" s="3">
        <v>81</v>
      </c>
      <c r="I280" s="5">
        <f t="shared" si="4"/>
        <v>46032</v>
      </c>
      <c r="J280" s="3">
        <f>IF(COUNTIFS($C$2:C280,C280,$I$2:I280,I280)=1,1,0)</f>
        <v>1</v>
      </c>
    </row>
    <row r="281" spans="1:10" x14ac:dyDescent="0.3">
      <c r="A281" s="3" t="s">
        <v>294</v>
      </c>
      <c r="B281" s="3">
        <v>33</v>
      </c>
      <c r="C281" s="3">
        <v>8</v>
      </c>
      <c r="D281" s="4">
        <v>46048.811805555553</v>
      </c>
      <c r="E281" s="3">
        <v>299</v>
      </c>
      <c r="F281" s="3" t="s">
        <v>9</v>
      </c>
      <c r="G281" s="3" t="s">
        <v>10</v>
      </c>
      <c r="H281" s="3">
        <v>63</v>
      </c>
      <c r="I281" s="5">
        <f t="shared" si="4"/>
        <v>46048</v>
      </c>
      <c r="J281" s="3">
        <f>IF(COUNTIFS($C$2:C281,C281,$I$2:I281,I281)=1,1,0)</f>
        <v>0</v>
      </c>
    </row>
    <row r="282" spans="1:10" x14ac:dyDescent="0.3">
      <c r="A282" s="3" t="s">
        <v>295</v>
      </c>
      <c r="B282" s="3">
        <v>324</v>
      </c>
      <c r="C282" s="3">
        <v>33</v>
      </c>
      <c r="D282" s="4">
        <v>46042.709027777775</v>
      </c>
      <c r="E282" s="3">
        <v>499</v>
      </c>
      <c r="F282" s="3" t="s">
        <v>12</v>
      </c>
      <c r="G282" s="3" t="s">
        <v>10</v>
      </c>
      <c r="H282" s="3">
        <v>73</v>
      </c>
      <c r="I282" s="5">
        <f t="shared" si="4"/>
        <v>46042</v>
      </c>
      <c r="J282" s="3">
        <f>IF(COUNTIFS($C$2:C282,C282,$I$2:I282,I282)=1,1,0)</f>
        <v>1</v>
      </c>
    </row>
    <row r="283" spans="1:10" x14ac:dyDescent="0.3">
      <c r="A283" s="3" t="s">
        <v>296</v>
      </c>
      <c r="B283" s="3">
        <v>150</v>
      </c>
      <c r="C283" s="3">
        <v>28</v>
      </c>
      <c r="D283" s="4">
        <v>46030.92291666667</v>
      </c>
      <c r="E283" s="3">
        <v>49</v>
      </c>
      <c r="F283" s="3" t="s">
        <v>12</v>
      </c>
      <c r="G283" s="3" t="s">
        <v>25</v>
      </c>
      <c r="H283" s="3">
        <v>0</v>
      </c>
      <c r="I283" s="5">
        <f t="shared" si="4"/>
        <v>46030</v>
      </c>
      <c r="J283" s="3">
        <f>IF(COUNTIFS($C$2:C283,C283,$I$2:I283,I283)=1,1,0)</f>
        <v>1</v>
      </c>
    </row>
    <row r="284" spans="1:10" x14ac:dyDescent="0.3">
      <c r="A284" s="3" t="s">
        <v>297</v>
      </c>
      <c r="B284" s="3">
        <v>293</v>
      </c>
      <c r="C284" s="3">
        <v>27</v>
      </c>
      <c r="D284" s="4">
        <v>46042.46875</v>
      </c>
      <c r="E284" s="3">
        <v>4999</v>
      </c>
      <c r="F284" s="3" t="s">
        <v>12</v>
      </c>
      <c r="G284" s="3" t="s">
        <v>10</v>
      </c>
      <c r="H284" s="3">
        <v>23</v>
      </c>
      <c r="I284" s="5">
        <f t="shared" si="4"/>
        <v>46042</v>
      </c>
      <c r="J284" s="3">
        <f>IF(COUNTIFS($C$2:C284,C284,$I$2:I284,I284)=1,1,0)</f>
        <v>1</v>
      </c>
    </row>
    <row r="285" spans="1:10" x14ac:dyDescent="0.3">
      <c r="A285" s="3" t="s">
        <v>298</v>
      </c>
      <c r="B285" s="3">
        <v>269</v>
      </c>
      <c r="C285" s="3">
        <v>24</v>
      </c>
      <c r="D285" s="4">
        <v>46044.878472222219</v>
      </c>
      <c r="E285" s="3">
        <v>49</v>
      </c>
      <c r="F285" s="3" t="s">
        <v>9</v>
      </c>
      <c r="G285" s="3" t="s">
        <v>10</v>
      </c>
      <c r="H285" s="3">
        <v>8</v>
      </c>
      <c r="I285" s="5">
        <f t="shared" si="4"/>
        <v>46044</v>
      </c>
      <c r="J285" s="3">
        <f>IF(COUNTIFS($C$2:C285,C285,$I$2:I285,I285)=1,1,0)</f>
        <v>1</v>
      </c>
    </row>
    <row r="286" spans="1:10" x14ac:dyDescent="0.3">
      <c r="A286" s="3" t="s">
        <v>299</v>
      </c>
      <c r="B286" s="3">
        <v>260</v>
      </c>
      <c r="C286" s="3">
        <v>36</v>
      </c>
      <c r="D286" s="4">
        <v>46039.730555555558</v>
      </c>
      <c r="E286" s="3">
        <v>1499</v>
      </c>
      <c r="F286" s="3" t="s">
        <v>12</v>
      </c>
      <c r="G286" s="3" t="s">
        <v>10</v>
      </c>
      <c r="H286" s="3">
        <v>2</v>
      </c>
      <c r="I286" s="5">
        <f t="shared" si="4"/>
        <v>46039</v>
      </c>
      <c r="J286" s="3">
        <f>IF(COUNTIFS($C$2:C286,C286,$I$2:I286,I286)=1,1,0)</f>
        <v>1</v>
      </c>
    </row>
    <row r="287" spans="1:10" x14ac:dyDescent="0.3">
      <c r="A287" s="3" t="s">
        <v>300</v>
      </c>
      <c r="B287" s="3">
        <v>326</v>
      </c>
      <c r="C287" s="3">
        <v>25</v>
      </c>
      <c r="D287" s="4">
        <v>46035.626388888886</v>
      </c>
      <c r="E287" s="3">
        <v>49</v>
      </c>
      <c r="F287" s="3" t="s">
        <v>12</v>
      </c>
      <c r="G287" s="3" t="s">
        <v>10</v>
      </c>
      <c r="H287" s="3">
        <v>47</v>
      </c>
      <c r="I287" s="5">
        <f t="shared" si="4"/>
        <v>46035</v>
      </c>
      <c r="J287" s="3">
        <f>IF(COUNTIFS($C$2:C287,C287,$I$2:I287,I287)=1,1,0)</f>
        <v>1</v>
      </c>
    </row>
    <row r="288" spans="1:10" x14ac:dyDescent="0.3">
      <c r="A288" s="3" t="s">
        <v>301</v>
      </c>
      <c r="B288" s="3">
        <v>183</v>
      </c>
      <c r="C288" s="3">
        <v>5</v>
      </c>
      <c r="D288" s="4">
        <v>46031.959027777775</v>
      </c>
      <c r="E288" s="3">
        <v>49</v>
      </c>
      <c r="F288" s="3" t="s">
        <v>24</v>
      </c>
      <c r="G288" s="3" t="s">
        <v>10</v>
      </c>
      <c r="H288" s="3">
        <v>44</v>
      </c>
      <c r="I288" s="5">
        <f t="shared" si="4"/>
        <v>46031</v>
      </c>
      <c r="J288" s="3">
        <f>IF(COUNTIFS($C$2:C288,C288,$I$2:I288,I288)=1,1,0)</f>
        <v>1</v>
      </c>
    </row>
    <row r="289" spans="1:10" x14ac:dyDescent="0.3">
      <c r="A289" s="3" t="s">
        <v>302</v>
      </c>
      <c r="B289" s="3">
        <v>322</v>
      </c>
      <c r="C289" s="3">
        <v>7</v>
      </c>
      <c r="D289" s="4">
        <v>46030.987500000003</v>
      </c>
      <c r="E289" s="3">
        <v>299</v>
      </c>
      <c r="F289" s="3" t="s">
        <v>12</v>
      </c>
      <c r="G289" s="3" t="s">
        <v>10</v>
      </c>
      <c r="H289" s="3">
        <v>98</v>
      </c>
      <c r="I289" s="5">
        <f t="shared" si="4"/>
        <v>46030</v>
      </c>
      <c r="J289" s="3">
        <f>IF(COUNTIFS($C$2:C289,C289,$I$2:I289,I289)=1,1,0)</f>
        <v>1</v>
      </c>
    </row>
    <row r="290" spans="1:10" x14ac:dyDescent="0.3">
      <c r="A290" s="3" t="s">
        <v>303</v>
      </c>
      <c r="B290" s="3">
        <v>171</v>
      </c>
      <c r="C290" s="3">
        <v>9</v>
      </c>
      <c r="D290" s="4">
        <v>46041.991666666669</v>
      </c>
      <c r="E290" s="3">
        <v>299</v>
      </c>
      <c r="F290" s="3" t="s">
        <v>12</v>
      </c>
      <c r="G290" s="3" t="s">
        <v>10</v>
      </c>
      <c r="H290" s="3">
        <v>5</v>
      </c>
      <c r="I290" s="5">
        <f t="shared" si="4"/>
        <v>46041</v>
      </c>
      <c r="J290" s="3">
        <f>IF(COUNTIFS($C$2:C290,C290,$I$2:I290,I290)=1,1,0)</f>
        <v>1</v>
      </c>
    </row>
    <row r="291" spans="1:10" x14ac:dyDescent="0.3">
      <c r="A291" s="3" t="s">
        <v>304</v>
      </c>
      <c r="B291" s="3">
        <v>330</v>
      </c>
      <c r="C291" s="3">
        <v>12</v>
      </c>
      <c r="D291" s="4">
        <v>46034.722916666666</v>
      </c>
      <c r="E291" s="3">
        <v>1499</v>
      </c>
      <c r="F291" s="3" t="s">
        <v>15</v>
      </c>
      <c r="G291" s="3" t="s">
        <v>10</v>
      </c>
      <c r="H291" s="3">
        <v>99</v>
      </c>
      <c r="I291" s="5">
        <f t="shared" si="4"/>
        <v>46034</v>
      </c>
      <c r="J291" s="3">
        <f>IF(COUNTIFS($C$2:C291,C291,$I$2:I291,I291)=1,1,0)</f>
        <v>1</v>
      </c>
    </row>
    <row r="292" spans="1:10" x14ac:dyDescent="0.3">
      <c r="A292" s="3" t="s">
        <v>305</v>
      </c>
      <c r="B292" s="3">
        <v>246</v>
      </c>
      <c r="C292" s="3">
        <v>12</v>
      </c>
      <c r="D292" s="4">
        <v>46044.613888888889</v>
      </c>
      <c r="E292" s="3">
        <v>99</v>
      </c>
      <c r="F292" s="3" t="s">
        <v>9</v>
      </c>
      <c r="G292" s="3" t="s">
        <v>10</v>
      </c>
      <c r="H292" s="3">
        <v>17</v>
      </c>
      <c r="I292" s="5">
        <f t="shared" si="4"/>
        <v>46044</v>
      </c>
      <c r="J292" s="3">
        <f>IF(COUNTIFS($C$2:C292,C292,$I$2:I292,I292)=1,1,0)</f>
        <v>1</v>
      </c>
    </row>
    <row r="293" spans="1:10" x14ac:dyDescent="0.3">
      <c r="A293" s="3" t="s">
        <v>306</v>
      </c>
      <c r="B293" s="3">
        <v>235</v>
      </c>
      <c r="C293" s="3">
        <v>3</v>
      </c>
      <c r="D293" s="4">
        <v>46025.950694444444</v>
      </c>
      <c r="E293" s="3">
        <v>49</v>
      </c>
      <c r="F293" s="3" t="s">
        <v>12</v>
      </c>
      <c r="G293" s="3" t="s">
        <v>10</v>
      </c>
      <c r="H293" s="3">
        <v>37</v>
      </c>
      <c r="I293" s="5">
        <f t="shared" si="4"/>
        <v>46025</v>
      </c>
      <c r="J293" s="3">
        <f>IF(COUNTIFS($C$2:C293,C293,$I$2:I293,I293)=1,1,0)</f>
        <v>0</v>
      </c>
    </row>
    <row r="294" spans="1:10" x14ac:dyDescent="0.3">
      <c r="A294" s="3" t="s">
        <v>307</v>
      </c>
      <c r="B294" s="3">
        <v>103</v>
      </c>
      <c r="C294" s="3">
        <v>3</v>
      </c>
      <c r="D294" s="4">
        <v>46029.076388888891</v>
      </c>
      <c r="E294" s="3">
        <v>499</v>
      </c>
      <c r="F294" s="3" t="s">
        <v>12</v>
      </c>
      <c r="G294" s="3" t="s">
        <v>10</v>
      </c>
      <c r="H294" s="3">
        <v>40</v>
      </c>
      <c r="I294" s="5">
        <f t="shared" si="4"/>
        <v>46029</v>
      </c>
      <c r="J294" s="3">
        <f>IF(COUNTIFS($C$2:C294,C294,$I$2:I294,I294)=1,1,0)</f>
        <v>1</v>
      </c>
    </row>
    <row r="295" spans="1:10" x14ac:dyDescent="0.3">
      <c r="A295" s="3" t="s">
        <v>308</v>
      </c>
      <c r="B295" s="3">
        <v>204</v>
      </c>
      <c r="C295" s="3">
        <v>35</v>
      </c>
      <c r="D295" s="4">
        <v>46052.397222222222</v>
      </c>
      <c r="E295" s="3">
        <v>99</v>
      </c>
      <c r="F295" s="3" t="s">
        <v>9</v>
      </c>
      <c r="G295" s="3" t="s">
        <v>10</v>
      </c>
      <c r="H295" s="3">
        <v>60</v>
      </c>
      <c r="I295" s="5">
        <f t="shared" si="4"/>
        <v>46052</v>
      </c>
      <c r="J295" s="3">
        <f>IF(COUNTIFS($C$2:C295,C295,$I$2:I295,I295)=1,1,0)</f>
        <v>1</v>
      </c>
    </row>
    <row r="296" spans="1:10" x14ac:dyDescent="0.3">
      <c r="A296" s="3" t="s">
        <v>309</v>
      </c>
      <c r="B296" s="3">
        <v>332</v>
      </c>
      <c r="C296" s="3">
        <v>13</v>
      </c>
      <c r="D296" s="4">
        <v>46031.074999999997</v>
      </c>
      <c r="E296" s="3">
        <v>49</v>
      </c>
      <c r="F296" s="3" t="s">
        <v>24</v>
      </c>
      <c r="G296" s="3" t="s">
        <v>10</v>
      </c>
      <c r="H296" s="3">
        <v>36</v>
      </c>
      <c r="I296" s="5">
        <f t="shared" si="4"/>
        <v>46031</v>
      </c>
      <c r="J296" s="3">
        <f>IF(COUNTIFS($C$2:C296,C296,$I$2:I296,I296)=1,1,0)</f>
        <v>0</v>
      </c>
    </row>
    <row r="297" spans="1:10" x14ac:dyDescent="0.3">
      <c r="A297" s="3" t="s">
        <v>310</v>
      </c>
      <c r="B297" s="3">
        <v>336</v>
      </c>
      <c r="C297" s="3">
        <v>22</v>
      </c>
      <c r="D297" s="4">
        <v>46034.079861111109</v>
      </c>
      <c r="E297" s="3">
        <v>499</v>
      </c>
      <c r="F297" s="3" t="s">
        <v>12</v>
      </c>
      <c r="G297" s="3" t="s">
        <v>10</v>
      </c>
      <c r="H297" s="3">
        <v>34</v>
      </c>
      <c r="I297" s="5">
        <f t="shared" si="4"/>
        <v>46034</v>
      </c>
      <c r="J297" s="3">
        <f>IF(COUNTIFS($C$2:C297,C297,$I$2:I297,I297)=1,1,0)</f>
        <v>0</v>
      </c>
    </row>
    <row r="298" spans="1:10" x14ac:dyDescent="0.3">
      <c r="A298" s="3" t="s">
        <v>311</v>
      </c>
      <c r="B298" s="3">
        <v>205</v>
      </c>
      <c r="C298" s="3">
        <v>29</v>
      </c>
      <c r="D298" s="4">
        <v>46026.477083333331</v>
      </c>
      <c r="E298" s="3">
        <v>99</v>
      </c>
      <c r="F298" s="3" t="s">
        <v>9</v>
      </c>
      <c r="G298" s="3" t="s">
        <v>10</v>
      </c>
      <c r="H298" s="3">
        <v>49</v>
      </c>
      <c r="I298" s="5">
        <f t="shared" si="4"/>
        <v>46026</v>
      </c>
      <c r="J298" s="3">
        <f>IF(COUNTIFS($C$2:C298,C298,$I$2:I298,I298)=1,1,0)</f>
        <v>1</v>
      </c>
    </row>
    <row r="299" spans="1:10" x14ac:dyDescent="0.3">
      <c r="A299" s="3" t="s">
        <v>312</v>
      </c>
      <c r="B299" s="3">
        <v>255</v>
      </c>
      <c r="C299" s="3">
        <v>24</v>
      </c>
      <c r="D299" s="4">
        <v>46033.229861111111</v>
      </c>
      <c r="E299" s="3">
        <v>799</v>
      </c>
      <c r="F299" s="3" t="s">
        <v>12</v>
      </c>
      <c r="G299" s="3" t="s">
        <v>10</v>
      </c>
      <c r="H299" s="3">
        <v>66</v>
      </c>
      <c r="I299" s="5">
        <f t="shared" si="4"/>
        <v>46033</v>
      </c>
      <c r="J299" s="3">
        <f>IF(COUNTIFS($C$2:C299,C299,$I$2:I299,I299)=1,1,0)</f>
        <v>1</v>
      </c>
    </row>
    <row r="300" spans="1:10" x14ac:dyDescent="0.3">
      <c r="A300" s="3" t="s">
        <v>313</v>
      </c>
      <c r="B300" s="3">
        <v>218</v>
      </c>
      <c r="C300" s="3">
        <v>6</v>
      </c>
      <c r="D300" s="4">
        <v>46031.115277777775</v>
      </c>
      <c r="E300" s="3">
        <v>99</v>
      </c>
      <c r="F300" s="3" t="s">
        <v>12</v>
      </c>
      <c r="G300" s="3" t="s">
        <v>10</v>
      </c>
      <c r="H300" s="3">
        <v>55</v>
      </c>
      <c r="I300" s="5">
        <f t="shared" si="4"/>
        <v>46031</v>
      </c>
      <c r="J300" s="3">
        <f>IF(COUNTIFS($C$2:C300,C300,$I$2:I300,I300)=1,1,0)</f>
        <v>1</v>
      </c>
    </row>
    <row r="301" spans="1:10" x14ac:dyDescent="0.3">
      <c r="A301" s="3" t="s">
        <v>314</v>
      </c>
      <c r="B301" s="3">
        <v>151</v>
      </c>
      <c r="C301" s="3">
        <v>21</v>
      </c>
      <c r="D301" s="4">
        <v>46042.231944444444</v>
      </c>
      <c r="E301" s="3">
        <v>49</v>
      </c>
      <c r="F301" s="3" t="s">
        <v>12</v>
      </c>
      <c r="G301" s="3" t="s">
        <v>10</v>
      </c>
      <c r="H301" s="3">
        <v>13</v>
      </c>
      <c r="I301" s="5">
        <f t="shared" si="4"/>
        <v>46042</v>
      </c>
      <c r="J301" s="3">
        <f>IF(COUNTIFS($C$2:C301,C301,$I$2:I301,I301)=1,1,0)</f>
        <v>1</v>
      </c>
    </row>
    <row r="302" spans="1:10" x14ac:dyDescent="0.3">
      <c r="A302" s="3" t="s">
        <v>315</v>
      </c>
      <c r="B302" s="3">
        <v>152</v>
      </c>
      <c r="C302" s="3">
        <v>20</v>
      </c>
      <c r="D302" s="4">
        <v>46025.445833333331</v>
      </c>
      <c r="E302" s="3">
        <v>49</v>
      </c>
      <c r="F302" s="3" t="s">
        <v>12</v>
      </c>
      <c r="G302" s="3" t="s">
        <v>10</v>
      </c>
      <c r="H302" s="3">
        <v>57</v>
      </c>
      <c r="I302" s="5">
        <f t="shared" si="4"/>
        <v>46025</v>
      </c>
      <c r="J302" s="3">
        <f>IF(COUNTIFS($C$2:C302,C302,$I$2:I302,I302)=1,1,0)</f>
        <v>1</v>
      </c>
    </row>
    <row r="303" spans="1:10" x14ac:dyDescent="0.3">
      <c r="A303" s="3" t="s">
        <v>316</v>
      </c>
      <c r="B303" s="3">
        <v>86</v>
      </c>
      <c r="C303" s="3">
        <v>29</v>
      </c>
      <c r="D303" s="4">
        <v>46042.935416666667</v>
      </c>
      <c r="E303" s="3">
        <v>149</v>
      </c>
      <c r="F303" s="3" t="s">
        <v>24</v>
      </c>
      <c r="G303" s="3" t="s">
        <v>10</v>
      </c>
      <c r="H303" s="3">
        <v>44</v>
      </c>
      <c r="I303" s="5">
        <f t="shared" si="4"/>
        <v>46042</v>
      </c>
      <c r="J303" s="3">
        <f>IF(COUNTIFS($C$2:C303,C303,$I$2:I303,I303)=1,1,0)</f>
        <v>1</v>
      </c>
    </row>
    <row r="304" spans="1:10" x14ac:dyDescent="0.3">
      <c r="A304" s="3" t="s">
        <v>317</v>
      </c>
      <c r="B304" s="3">
        <v>181</v>
      </c>
      <c r="C304" s="3">
        <v>40</v>
      </c>
      <c r="D304" s="4">
        <v>46037.073611111111</v>
      </c>
      <c r="E304" s="3">
        <v>149</v>
      </c>
      <c r="F304" s="3" t="s">
        <v>12</v>
      </c>
      <c r="G304" s="3" t="s">
        <v>10</v>
      </c>
      <c r="H304" s="3">
        <v>55</v>
      </c>
      <c r="I304" s="5">
        <f t="shared" si="4"/>
        <v>46037</v>
      </c>
      <c r="J304" s="3">
        <f>IF(COUNTIFS($C$2:C304,C304,$I$2:I304,I304)=1,1,0)</f>
        <v>1</v>
      </c>
    </row>
    <row r="305" spans="1:10" x14ac:dyDescent="0.3">
      <c r="A305" s="3" t="s">
        <v>318</v>
      </c>
      <c r="B305" s="3">
        <v>30</v>
      </c>
      <c r="C305" s="3">
        <v>5</v>
      </c>
      <c r="D305" s="4">
        <v>46031.868055555555</v>
      </c>
      <c r="E305" s="3">
        <v>299</v>
      </c>
      <c r="F305" s="3" t="s">
        <v>12</v>
      </c>
      <c r="G305" s="3" t="s">
        <v>10</v>
      </c>
      <c r="H305" s="3">
        <v>85</v>
      </c>
      <c r="I305" s="5">
        <f t="shared" si="4"/>
        <v>46031</v>
      </c>
      <c r="J305" s="3">
        <f>IF(COUNTIFS($C$2:C305,C305,$I$2:I305,I305)=1,1,0)</f>
        <v>0</v>
      </c>
    </row>
    <row r="306" spans="1:10" x14ac:dyDescent="0.3">
      <c r="A306" s="3" t="s">
        <v>319</v>
      </c>
      <c r="B306" s="3">
        <v>263</v>
      </c>
      <c r="C306" s="3">
        <v>11</v>
      </c>
      <c r="D306" s="4">
        <v>46043.515972222223</v>
      </c>
      <c r="E306" s="3">
        <v>149</v>
      </c>
      <c r="F306" s="3" t="s">
        <v>9</v>
      </c>
      <c r="G306" s="3" t="s">
        <v>10</v>
      </c>
      <c r="H306" s="3">
        <v>3</v>
      </c>
      <c r="I306" s="5">
        <f t="shared" si="4"/>
        <v>46043</v>
      </c>
      <c r="J306" s="3">
        <f>IF(COUNTIFS($C$2:C306,C306,$I$2:I306,I306)=1,1,0)</f>
        <v>1</v>
      </c>
    </row>
    <row r="307" spans="1:10" x14ac:dyDescent="0.3">
      <c r="A307" s="3" t="s">
        <v>320</v>
      </c>
      <c r="B307" s="3">
        <v>225</v>
      </c>
      <c r="C307" s="3">
        <v>3</v>
      </c>
      <c r="D307" s="4">
        <v>46027.821527777778</v>
      </c>
      <c r="E307" s="3">
        <v>99</v>
      </c>
      <c r="F307" s="3" t="s">
        <v>15</v>
      </c>
      <c r="G307" s="3" t="s">
        <v>10</v>
      </c>
      <c r="H307" s="3">
        <v>16</v>
      </c>
      <c r="I307" s="5">
        <f t="shared" si="4"/>
        <v>46027</v>
      </c>
      <c r="J307" s="3">
        <f>IF(COUNTIFS($C$2:C307,C307,$I$2:I307,I307)=1,1,0)</f>
        <v>1</v>
      </c>
    </row>
    <row r="308" spans="1:10" x14ac:dyDescent="0.3">
      <c r="A308" s="3" t="s">
        <v>321</v>
      </c>
      <c r="B308" s="3">
        <v>331</v>
      </c>
      <c r="C308" s="3">
        <v>24</v>
      </c>
      <c r="D308" s="4">
        <v>46025.325694444444</v>
      </c>
      <c r="E308" s="3">
        <v>49</v>
      </c>
      <c r="F308" s="3" t="s">
        <v>24</v>
      </c>
      <c r="G308" s="3" t="s">
        <v>10</v>
      </c>
      <c r="H308" s="3">
        <v>46</v>
      </c>
      <c r="I308" s="5">
        <f t="shared" si="4"/>
        <v>46025</v>
      </c>
      <c r="J308" s="3">
        <f>IF(COUNTIFS($C$2:C308,C308,$I$2:I308,I308)=1,1,0)</f>
        <v>1</v>
      </c>
    </row>
    <row r="309" spans="1:10" x14ac:dyDescent="0.3">
      <c r="A309" s="3" t="s">
        <v>322</v>
      </c>
      <c r="B309" s="3">
        <v>310</v>
      </c>
      <c r="C309" s="3">
        <v>10</v>
      </c>
      <c r="D309" s="4">
        <v>46035.751388888886</v>
      </c>
      <c r="E309" s="3">
        <v>1499</v>
      </c>
      <c r="F309" s="3" t="s">
        <v>24</v>
      </c>
      <c r="G309" s="3" t="s">
        <v>10</v>
      </c>
      <c r="H309" s="3">
        <v>86</v>
      </c>
      <c r="I309" s="5">
        <f t="shared" si="4"/>
        <v>46035</v>
      </c>
      <c r="J309" s="3">
        <f>IF(COUNTIFS($C$2:C309,C309,$I$2:I309,I309)=1,1,0)</f>
        <v>1</v>
      </c>
    </row>
    <row r="310" spans="1:10" x14ac:dyDescent="0.3">
      <c r="A310" s="3" t="s">
        <v>323</v>
      </c>
      <c r="B310" s="3">
        <v>228</v>
      </c>
      <c r="C310" s="3">
        <v>5</v>
      </c>
      <c r="D310" s="4">
        <v>46037.474305555559</v>
      </c>
      <c r="E310" s="3">
        <v>49</v>
      </c>
      <c r="F310" s="3" t="s">
        <v>12</v>
      </c>
      <c r="G310" s="3" t="s">
        <v>10</v>
      </c>
      <c r="H310" s="3">
        <v>73</v>
      </c>
      <c r="I310" s="5">
        <f t="shared" si="4"/>
        <v>46037</v>
      </c>
      <c r="J310" s="3">
        <f>IF(COUNTIFS($C$2:C310,C310,$I$2:I310,I310)=1,1,0)</f>
        <v>1</v>
      </c>
    </row>
    <row r="311" spans="1:10" x14ac:dyDescent="0.3">
      <c r="A311" s="3" t="s">
        <v>324</v>
      </c>
      <c r="B311" s="3">
        <v>204</v>
      </c>
      <c r="C311" s="3">
        <v>21</v>
      </c>
      <c r="D311" s="4">
        <v>46027.682638888888</v>
      </c>
      <c r="E311" s="3">
        <v>499</v>
      </c>
      <c r="F311" s="3" t="s">
        <v>12</v>
      </c>
      <c r="G311" s="3" t="s">
        <v>10</v>
      </c>
      <c r="H311" s="3">
        <v>83</v>
      </c>
      <c r="I311" s="5">
        <f t="shared" si="4"/>
        <v>46027</v>
      </c>
      <c r="J311" s="3">
        <f>IF(COUNTIFS($C$2:C311,C311,$I$2:I311,I311)=1,1,0)</f>
        <v>1</v>
      </c>
    </row>
    <row r="312" spans="1:10" x14ac:dyDescent="0.3">
      <c r="A312" s="3" t="s">
        <v>325</v>
      </c>
      <c r="B312" s="3">
        <v>14</v>
      </c>
      <c r="C312" s="3">
        <v>12</v>
      </c>
      <c r="D312" s="4">
        <v>46031.296527777777</v>
      </c>
      <c r="E312" s="3">
        <v>799</v>
      </c>
      <c r="F312" s="3" t="s">
        <v>15</v>
      </c>
      <c r="G312" s="3" t="s">
        <v>10</v>
      </c>
      <c r="H312" s="3">
        <v>63</v>
      </c>
      <c r="I312" s="5">
        <f t="shared" si="4"/>
        <v>46031</v>
      </c>
      <c r="J312" s="3">
        <f>IF(COUNTIFS($C$2:C312,C312,$I$2:I312,I312)=1,1,0)</f>
        <v>1</v>
      </c>
    </row>
    <row r="313" spans="1:10" x14ac:dyDescent="0.3">
      <c r="A313" s="3" t="s">
        <v>326</v>
      </c>
      <c r="B313" s="3">
        <v>288</v>
      </c>
      <c r="C313" s="3">
        <v>8</v>
      </c>
      <c r="D313" s="4">
        <v>46039.540277777778</v>
      </c>
      <c r="E313" s="3">
        <v>49</v>
      </c>
      <c r="F313" s="3" t="s">
        <v>12</v>
      </c>
      <c r="G313" s="3" t="s">
        <v>10</v>
      </c>
      <c r="H313" s="3">
        <v>33</v>
      </c>
      <c r="I313" s="5">
        <f t="shared" si="4"/>
        <v>46039</v>
      </c>
      <c r="J313" s="3">
        <f>IF(COUNTIFS($C$2:C313,C313,$I$2:I313,I313)=1,1,0)</f>
        <v>0</v>
      </c>
    </row>
    <row r="314" spans="1:10" x14ac:dyDescent="0.3">
      <c r="A314" s="3" t="s">
        <v>327</v>
      </c>
      <c r="B314" s="3">
        <v>229</v>
      </c>
      <c r="C314" s="3">
        <v>14</v>
      </c>
      <c r="D314" s="4">
        <v>46047.364583333336</v>
      </c>
      <c r="E314" s="3">
        <v>1499</v>
      </c>
      <c r="F314" s="3" t="s">
        <v>12</v>
      </c>
      <c r="G314" s="3" t="s">
        <v>10</v>
      </c>
      <c r="H314" s="3">
        <v>78</v>
      </c>
      <c r="I314" s="5">
        <f t="shared" si="4"/>
        <v>46047</v>
      </c>
      <c r="J314" s="3">
        <f>IF(COUNTIFS($C$2:C314,C314,$I$2:I314,I314)=1,1,0)</f>
        <v>1</v>
      </c>
    </row>
    <row r="315" spans="1:10" x14ac:dyDescent="0.3">
      <c r="A315" s="3" t="s">
        <v>328</v>
      </c>
      <c r="B315" s="3">
        <v>252</v>
      </c>
      <c r="C315" s="3">
        <v>13</v>
      </c>
      <c r="D315" s="4">
        <v>46032.956944444442</v>
      </c>
      <c r="E315" s="3">
        <v>99</v>
      </c>
      <c r="F315" s="3" t="s">
        <v>9</v>
      </c>
      <c r="G315" s="3" t="s">
        <v>10</v>
      </c>
      <c r="H315" s="3">
        <v>15</v>
      </c>
      <c r="I315" s="5">
        <f t="shared" si="4"/>
        <v>46032</v>
      </c>
      <c r="J315" s="3">
        <f>IF(COUNTIFS($C$2:C315,C315,$I$2:I315,I315)=1,1,0)</f>
        <v>1</v>
      </c>
    </row>
    <row r="316" spans="1:10" x14ac:dyDescent="0.3">
      <c r="A316" s="3" t="s">
        <v>329</v>
      </c>
      <c r="B316" s="3">
        <v>89</v>
      </c>
      <c r="C316" s="3">
        <v>29</v>
      </c>
      <c r="D316" s="4">
        <v>46027.102777777778</v>
      </c>
      <c r="E316" s="3">
        <v>799</v>
      </c>
      <c r="F316" s="3" t="s">
        <v>12</v>
      </c>
      <c r="G316" s="3" t="s">
        <v>10</v>
      </c>
      <c r="H316" s="3">
        <v>11</v>
      </c>
      <c r="I316" s="5">
        <f t="shared" si="4"/>
        <v>46027</v>
      </c>
      <c r="J316" s="3">
        <f>IF(COUNTIFS($C$2:C316,C316,$I$2:I316,I316)=1,1,0)</f>
        <v>1</v>
      </c>
    </row>
    <row r="317" spans="1:10" x14ac:dyDescent="0.3">
      <c r="A317" s="3" t="s">
        <v>330</v>
      </c>
      <c r="B317" s="3">
        <v>164</v>
      </c>
      <c r="C317" s="3">
        <v>23</v>
      </c>
      <c r="D317" s="4">
        <v>46048.912499999999</v>
      </c>
      <c r="E317" s="3">
        <v>49</v>
      </c>
      <c r="F317" s="3" t="s">
        <v>15</v>
      </c>
      <c r="G317" s="3" t="s">
        <v>10</v>
      </c>
      <c r="H317" s="3">
        <v>90</v>
      </c>
      <c r="I317" s="5">
        <f t="shared" si="4"/>
        <v>46048</v>
      </c>
      <c r="J317" s="3">
        <f>IF(COUNTIFS($C$2:C317,C317,$I$2:I317,I317)=1,1,0)</f>
        <v>1</v>
      </c>
    </row>
    <row r="318" spans="1:10" x14ac:dyDescent="0.3">
      <c r="A318" s="3" t="s">
        <v>331</v>
      </c>
      <c r="B318" s="3">
        <v>149</v>
      </c>
      <c r="C318" s="3">
        <v>20</v>
      </c>
      <c r="D318" s="4">
        <v>46025.731944444444</v>
      </c>
      <c r="E318" s="3">
        <v>299</v>
      </c>
      <c r="F318" s="3" t="s">
        <v>9</v>
      </c>
      <c r="G318" s="3" t="s">
        <v>10</v>
      </c>
      <c r="H318" s="3">
        <v>20</v>
      </c>
      <c r="I318" s="5">
        <f t="shared" si="4"/>
        <v>46025</v>
      </c>
      <c r="J318" s="3">
        <f>IF(COUNTIFS($C$2:C318,C318,$I$2:I318,I318)=1,1,0)</f>
        <v>0</v>
      </c>
    </row>
    <row r="319" spans="1:10" x14ac:dyDescent="0.3">
      <c r="A319" s="3" t="s">
        <v>332</v>
      </c>
      <c r="B319" s="3">
        <v>327</v>
      </c>
      <c r="C319" s="3">
        <v>12</v>
      </c>
      <c r="D319" s="4">
        <v>46045.957638888889</v>
      </c>
      <c r="E319" s="3">
        <v>49</v>
      </c>
      <c r="F319" s="3" t="s">
        <v>15</v>
      </c>
      <c r="G319" s="3" t="s">
        <v>10</v>
      </c>
      <c r="H319" s="3">
        <v>46</v>
      </c>
      <c r="I319" s="5">
        <f t="shared" si="4"/>
        <v>46045</v>
      </c>
      <c r="J319" s="3">
        <f>IF(COUNTIFS($C$2:C319,C319,$I$2:I319,I319)=1,1,0)</f>
        <v>1</v>
      </c>
    </row>
    <row r="320" spans="1:10" x14ac:dyDescent="0.3">
      <c r="A320" s="3" t="s">
        <v>333</v>
      </c>
      <c r="B320" s="3">
        <v>103</v>
      </c>
      <c r="C320" s="3">
        <v>9</v>
      </c>
      <c r="D320" s="4">
        <v>46039.296527777777</v>
      </c>
      <c r="E320" s="3">
        <v>149</v>
      </c>
      <c r="F320" s="3" t="s">
        <v>12</v>
      </c>
      <c r="G320" s="3" t="s">
        <v>10</v>
      </c>
      <c r="H320" s="3">
        <v>30</v>
      </c>
      <c r="I320" s="5">
        <f t="shared" si="4"/>
        <v>46039</v>
      </c>
      <c r="J320" s="3">
        <f>IF(COUNTIFS($C$2:C320,C320,$I$2:I320,I320)=1,1,0)</f>
        <v>1</v>
      </c>
    </row>
    <row r="321" spans="1:10" x14ac:dyDescent="0.3">
      <c r="A321" s="3" t="s">
        <v>334</v>
      </c>
      <c r="B321" s="3">
        <v>185</v>
      </c>
      <c r="C321" s="3">
        <v>36</v>
      </c>
      <c r="D321" s="4">
        <v>46048.625694444447</v>
      </c>
      <c r="E321" s="3">
        <v>49</v>
      </c>
      <c r="F321" s="3" t="s">
        <v>9</v>
      </c>
      <c r="G321" s="3" t="s">
        <v>10</v>
      </c>
      <c r="H321" s="3">
        <v>73</v>
      </c>
      <c r="I321" s="5">
        <f t="shared" si="4"/>
        <v>46048</v>
      </c>
      <c r="J321" s="3">
        <f>IF(COUNTIFS($C$2:C321,C321,$I$2:I321,I321)=1,1,0)</f>
        <v>0</v>
      </c>
    </row>
    <row r="322" spans="1:10" x14ac:dyDescent="0.3">
      <c r="A322" s="3" t="s">
        <v>335</v>
      </c>
      <c r="B322" s="3">
        <v>283</v>
      </c>
      <c r="C322" s="3">
        <v>9</v>
      </c>
      <c r="D322" s="4">
        <v>46034.618750000001</v>
      </c>
      <c r="E322" s="3">
        <v>299</v>
      </c>
      <c r="F322" s="3" t="s">
        <v>12</v>
      </c>
      <c r="G322" s="3" t="s">
        <v>10</v>
      </c>
      <c r="H322" s="3">
        <v>78</v>
      </c>
      <c r="I322" s="5">
        <f t="shared" si="4"/>
        <v>46034</v>
      </c>
      <c r="J322" s="3">
        <f>IF(COUNTIFS($C$2:C322,C322,$I$2:I322,I322)=1,1,0)</f>
        <v>1</v>
      </c>
    </row>
    <row r="323" spans="1:10" x14ac:dyDescent="0.3">
      <c r="A323" s="3" t="s">
        <v>336</v>
      </c>
      <c r="B323" s="3">
        <v>159</v>
      </c>
      <c r="C323" s="3">
        <v>26</v>
      </c>
      <c r="D323" s="4">
        <v>46051.086111111108</v>
      </c>
      <c r="E323" s="3">
        <v>99</v>
      </c>
      <c r="F323" s="3" t="s">
        <v>12</v>
      </c>
      <c r="G323" s="3" t="s">
        <v>10</v>
      </c>
      <c r="H323" s="3">
        <v>91</v>
      </c>
      <c r="I323" s="5">
        <f t="shared" ref="I323:I386" si="5">INT(D323)</f>
        <v>46051</v>
      </c>
      <c r="J323" s="3">
        <f>IF(COUNTIFS($C$2:C323,C323,$I$2:I323,I323)=1,1,0)</f>
        <v>1</v>
      </c>
    </row>
    <row r="324" spans="1:10" x14ac:dyDescent="0.3">
      <c r="A324" s="3" t="s">
        <v>337</v>
      </c>
      <c r="B324" s="3">
        <v>211</v>
      </c>
      <c r="C324" s="3">
        <v>27</v>
      </c>
      <c r="D324" s="4">
        <v>46046.647916666669</v>
      </c>
      <c r="E324" s="3">
        <v>99</v>
      </c>
      <c r="F324" s="3" t="s">
        <v>9</v>
      </c>
      <c r="G324" s="3" t="s">
        <v>10</v>
      </c>
      <c r="H324" s="3">
        <v>73</v>
      </c>
      <c r="I324" s="5">
        <f t="shared" si="5"/>
        <v>46046</v>
      </c>
      <c r="J324" s="3">
        <f>IF(COUNTIFS($C$2:C324,C324,$I$2:I324,I324)=1,1,0)</f>
        <v>1</v>
      </c>
    </row>
    <row r="325" spans="1:10" x14ac:dyDescent="0.3">
      <c r="A325" s="3" t="s">
        <v>338</v>
      </c>
      <c r="B325" s="3">
        <v>329</v>
      </c>
      <c r="C325" s="3">
        <v>5</v>
      </c>
      <c r="D325" s="4">
        <v>46025.180555555555</v>
      </c>
      <c r="E325" s="3">
        <v>499</v>
      </c>
      <c r="F325" s="3" t="s">
        <v>15</v>
      </c>
      <c r="G325" s="3" t="s">
        <v>10</v>
      </c>
      <c r="H325" s="3">
        <v>57</v>
      </c>
      <c r="I325" s="5">
        <f t="shared" si="5"/>
        <v>46025</v>
      </c>
      <c r="J325" s="3">
        <f>IF(COUNTIFS($C$2:C325,C325,$I$2:I325,I325)=1,1,0)</f>
        <v>1</v>
      </c>
    </row>
    <row r="326" spans="1:10" x14ac:dyDescent="0.3">
      <c r="A326" s="3" t="s">
        <v>339</v>
      </c>
      <c r="B326" s="3">
        <v>177</v>
      </c>
      <c r="C326" s="3">
        <v>9</v>
      </c>
      <c r="D326" s="4">
        <v>46037.897916666669</v>
      </c>
      <c r="E326" s="3">
        <v>99</v>
      </c>
      <c r="F326" s="3" t="s">
        <v>12</v>
      </c>
      <c r="G326" s="3" t="s">
        <v>10</v>
      </c>
      <c r="H326" s="3">
        <v>99</v>
      </c>
      <c r="I326" s="5">
        <f t="shared" si="5"/>
        <v>46037</v>
      </c>
      <c r="J326" s="3">
        <f>IF(COUNTIFS($C$2:C326,C326,$I$2:I326,I326)=1,1,0)</f>
        <v>0</v>
      </c>
    </row>
    <row r="327" spans="1:10" x14ac:dyDescent="0.3">
      <c r="A327" s="3" t="s">
        <v>340</v>
      </c>
      <c r="B327" s="3">
        <v>94</v>
      </c>
      <c r="C327" s="3">
        <v>9</v>
      </c>
      <c r="D327" s="4">
        <v>46040.859027777777</v>
      </c>
      <c r="E327" s="3">
        <v>299</v>
      </c>
      <c r="F327" s="3" t="s">
        <v>12</v>
      </c>
      <c r="G327" s="3" t="s">
        <v>10</v>
      </c>
      <c r="H327" s="3">
        <v>55</v>
      </c>
      <c r="I327" s="5">
        <f t="shared" si="5"/>
        <v>46040</v>
      </c>
      <c r="J327" s="3">
        <f>IF(COUNTIFS($C$2:C327,C327,$I$2:I327,I327)=1,1,0)</f>
        <v>1</v>
      </c>
    </row>
    <row r="328" spans="1:10" x14ac:dyDescent="0.3">
      <c r="A328" s="3" t="s">
        <v>341</v>
      </c>
      <c r="B328" s="3">
        <v>64</v>
      </c>
      <c r="C328" s="3">
        <v>34</v>
      </c>
      <c r="D328" s="4">
        <v>46039.078472222223</v>
      </c>
      <c r="E328" s="3">
        <v>299</v>
      </c>
      <c r="F328" s="3" t="s">
        <v>12</v>
      </c>
      <c r="G328" s="3" t="s">
        <v>10</v>
      </c>
      <c r="H328" s="3">
        <v>19</v>
      </c>
      <c r="I328" s="5">
        <f t="shared" si="5"/>
        <v>46039</v>
      </c>
      <c r="J328" s="3">
        <f>IF(COUNTIFS($C$2:C328,C328,$I$2:I328,I328)=1,1,0)</f>
        <v>1</v>
      </c>
    </row>
    <row r="329" spans="1:10" x14ac:dyDescent="0.3">
      <c r="A329" s="3" t="s">
        <v>342</v>
      </c>
      <c r="B329" s="3">
        <v>166</v>
      </c>
      <c r="C329" s="3">
        <v>15</v>
      </c>
      <c r="D329" s="4">
        <v>46032.215277777781</v>
      </c>
      <c r="E329" s="3">
        <v>49</v>
      </c>
      <c r="F329" s="3" t="s">
        <v>12</v>
      </c>
      <c r="G329" s="3" t="s">
        <v>10</v>
      </c>
      <c r="H329" s="3">
        <v>44</v>
      </c>
      <c r="I329" s="5">
        <f t="shared" si="5"/>
        <v>46032</v>
      </c>
      <c r="J329" s="3">
        <f>IF(COUNTIFS($C$2:C329,C329,$I$2:I329,I329)=1,1,0)</f>
        <v>1</v>
      </c>
    </row>
    <row r="330" spans="1:10" x14ac:dyDescent="0.3">
      <c r="A330" s="3" t="s">
        <v>343</v>
      </c>
      <c r="B330" s="3">
        <v>41</v>
      </c>
      <c r="C330" s="3">
        <v>17</v>
      </c>
      <c r="D330" s="4">
        <v>46039.412499999999</v>
      </c>
      <c r="E330" s="3">
        <v>299</v>
      </c>
      <c r="F330" s="3" t="s">
        <v>9</v>
      </c>
      <c r="G330" s="3" t="s">
        <v>10</v>
      </c>
      <c r="H330" s="3">
        <v>25</v>
      </c>
      <c r="I330" s="5">
        <f t="shared" si="5"/>
        <v>46039</v>
      </c>
      <c r="J330" s="3">
        <f>IF(COUNTIFS($C$2:C330,C330,$I$2:I330,I330)=1,1,0)</f>
        <v>1</v>
      </c>
    </row>
    <row r="331" spans="1:10" x14ac:dyDescent="0.3">
      <c r="A331" s="3" t="s">
        <v>344</v>
      </c>
      <c r="B331" s="3">
        <v>65</v>
      </c>
      <c r="C331" s="3">
        <v>20</v>
      </c>
      <c r="D331" s="4">
        <v>46043.720138888886</v>
      </c>
      <c r="E331" s="3">
        <v>99</v>
      </c>
      <c r="F331" s="3" t="s">
        <v>24</v>
      </c>
      <c r="G331" s="3" t="s">
        <v>10</v>
      </c>
      <c r="H331" s="3">
        <v>78</v>
      </c>
      <c r="I331" s="5">
        <f t="shared" si="5"/>
        <v>46043</v>
      </c>
      <c r="J331" s="3">
        <f>IF(COUNTIFS($C$2:C331,C331,$I$2:I331,I331)=1,1,0)</f>
        <v>1</v>
      </c>
    </row>
    <row r="332" spans="1:10" x14ac:dyDescent="0.3">
      <c r="A332" s="3" t="s">
        <v>345</v>
      </c>
      <c r="B332" s="3">
        <v>329</v>
      </c>
      <c r="C332" s="3">
        <v>11</v>
      </c>
      <c r="D332" s="4">
        <v>46040.105555555558</v>
      </c>
      <c r="E332" s="3">
        <v>499</v>
      </c>
      <c r="F332" s="3" t="s">
        <v>12</v>
      </c>
      <c r="G332" s="3" t="s">
        <v>10</v>
      </c>
      <c r="H332" s="3">
        <v>75</v>
      </c>
      <c r="I332" s="5">
        <f t="shared" si="5"/>
        <v>46040</v>
      </c>
      <c r="J332" s="3">
        <f>IF(COUNTIFS($C$2:C332,C332,$I$2:I332,I332)=1,1,0)</f>
        <v>1</v>
      </c>
    </row>
    <row r="333" spans="1:10" x14ac:dyDescent="0.3">
      <c r="A333" s="3" t="s">
        <v>346</v>
      </c>
      <c r="B333" s="3">
        <v>338</v>
      </c>
      <c r="C333" s="3">
        <v>40</v>
      </c>
      <c r="D333" s="4">
        <v>46041.173611111109</v>
      </c>
      <c r="E333" s="3">
        <v>149</v>
      </c>
      <c r="F333" s="3" t="s">
        <v>12</v>
      </c>
      <c r="G333" s="3" t="s">
        <v>10</v>
      </c>
      <c r="H333" s="3">
        <v>92</v>
      </c>
      <c r="I333" s="5">
        <f t="shared" si="5"/>
        <v>46041</v>
      </c>
      <c r="J333" s="3">
        <f>IF(COUNTIFS($C$2:C333,C333,$I$2:I333,I333)=1,1,0)</f>
        <v>1</v>
      </c>
    </row>
    <row r="334" spans="1:10" x14ac:dyDescent="0.3">
      <c r="A334" s="3" t="s">
        <v>347</v>
      </c>
      <c r="B334" s="3">
        <v>289</v>
      </c>
      <c r="C334" s="3">
        <v>3</v>
      </c>
      <c r="D334" s="4">
        <v>46051.806250000001</v>
      </c>
      <c r="E334" s="3">
        <v>49</v>
      </c>
      <c r="F334" s="3" t="s">
        <v>15</v>
      </c>
      <c r="G334" s="3" t="s">
        <v>10</v>
      </c>
      <c r="H334" s="3">
        <v>3</v>
      </c>
      <c r="I334" s="5">
        <f t="shared" si="5"/>
        <v>46051</v>
      </c>
      <c r="J334" s="3">
        <f>IF(COUNTIFS($C$2:C334,C334,$I$2:I334,I334)=1,1,0)</f>
        <v>1</v>
      </c>
    </row>
    <row r="335" spans="1:10" x14ac:dyDescent="0.3">
      <c r="A335" s="3" t="s">
        <v>348</v>
      </c>
      <c r="B335" s="3">
        <v>296</v>
      </c>
      <c r="C335" s="3">
        <v>17</v>
      </c>
      <c r="D335" s="4">
        <v>46025.070138888892</v>
      </c>
      <c r="E335" s="3">
        <v>99</v>
      </c>
      <c r="F335" s="3" t="s">
        <v>12</v>
      </c>
      <c r="G335" s="3" t="s">
        <v>10</v>
      </c>
      <c r="H335" s="3">
        <v>83</v>
      </c>
      <c r="I335" s="5">
        <f t="shared" si="5"/>
        <v>46025</v>
      </c>
      <c r="J335" s="3">
        <f>IF(COUNTIFS($C$2:C335,C335,$I$2:I335,I335)=1,1,0)</f>
        <v>1</v>
      </c>
    </row>
    <row r="336" spans="1:10" x14ac:dyDescent="0.3">
      <c r="A336" s="3" t="s">
        <v>349</v>
      </c>
      <c r="B336" s="3">
        <v>317</v>
      </c>
      <c r="C336" s="3">
        <v>2</v>
      </c>
      <c r="D336" s="4">
        <v>46029.768055555556</v>
      </c>
      <c r="E336" s="3">
        <v>499</v>
      </c>
      <c r="F336" s="3" t="s">
        <v>24</v>
      </c>
      <c r="G336" s="3" t="s">
        <v>10</v>
      </c>
      <c r="H336" s="3">
        <v>63</v>
      </c>
      <c r="I336" s="5">
        <f t="shared" si="5"/>
        <v>46029</v>
      </c>
      <c r="J336" s="3">
        <f>IF(COUNTIFS($C$2:C336,C336,$I$2:I336,I336)=1,1,0)</f>
        <v>1</v>
      </c>
    </row>
    <row r="337" spans="1:10" x14ac:dyDescent="0.3">
      <c r="A337" s="3" t="s">
        <v>350</v>
      </c>
      <c r="B337" s="3">
        <v>149</v>
      </c>
      <c r="C337" s="3">
        <v>20</v>
      </c>
      <c r="D337" s="4">
        <v>46051.856944444444</v>
      </c>
      <c r="E337" s="3">
        <v>499</v>
      </c>
      <c r="F337" s="3" t="s">
        <v>24</v>
      </c>
      <c r="G337" s="3" t="s">
        <v>10</v>
      </c>
      <c r="H337" s="3">
        <v>61</v>
      </c>
      <c r="I337" s="5">
        <f t="shared" si="5"/>
        <v>46051</v>
      </c>
      <c r="J337" s="3">
        <f>IF(COUNTIFS($C$2:C337,C337,$I$2:I337,I337)=1,1,0)</f>
        <v>1</v>
      </c>
    </row>
    <row r="338" spans="1:10" x14ac:dyDescent="0.3">
      <c r="A338" s="3" t="s">
        <v>351</v>
      </c>
      <c r="B338" s="3">
        <v>153</v>
      </c>
      <c r="C338" s="3">
        <v>30</v>
      </c>
      <c r="D338" s="4">
        <v>46030.892361111109</v>
      </c>
      <c r="E338" s="3">
        <v>299</v>
      </c>
      <c r="F338" s="3" t="s">
        <v>12</v>
      </c>
      <c r="G338" s="3" t="s">
        <v>10</v>
      </c>
      <c r="H338" s="3">
        <v>9</v>
      </c>
      <c r="I338" s="5">
        <f t="shared" si="5"/>
        <v>46030</v>
      </c>
      <c r="J338" s="3">
        <f>IF(COUNTIFS($C$2:C338,C338,$I$2:I338,I338)=1,1,0)</f>
        <v>0</v>
      </c>
    </row>
    <row r="339" spans="1:10" x14ac:dyDescent="0.3">
      <c r="A339" s="3" t="s">
        <v>352</v>
      </c>
      <c r="B339" s="3">
        <v>226</v>
      </c>
      <c r="C339" s="3">
        <v>27</v>
      </c>
      <c r="D339" s="4">
        <v>46045.048611111109</v>
      </c>
      <c r="E339" s="3">
        <v>2999</v>
      </c>
      <c r="F339" s="3" t="s">
        <v>12</v>
      </c>
      <c r="G339" s="3" t="s">
        <v>38</v>
      </c>
      <c r="H339" s="3">
        <v>61</v>
      </c>
      <c r="I339" s="5">
        <f t="shared" si="5"/>
        <v>46045</v>
      </c>
      <c r="J339" s="3">
        <f>IF(COUNTIFS($C$2:C339,C339,$I$2:I339,I339)=1,1,0)</f>
        <v>1</v>
      </c>
    </row>
    <row r="340" spans="1:10" x14ac:dyDescent="0.3">
      <c r="A340" s="3" t="s">
        <v>353</v>
      </c>
      <c r="B340" s="3">
        <v>311</v>
      </c>
      <c r="C340" s="3">
        <v>10</v>
      </c>
      <c r="D340" s="4">
        <v>46037.26458333333</v>
      </c>
      <c r="E340" s="3">
        <v>2999</v>
      </c>
      <c r="F340" s="3" t="s">
        <v>12</v>
      </c>
      <c r="G340" s="3" t="s">
        <v>10</v>
      </c>
      <c r="H340" s="3">
        <v>40</v>
      </c>
      <c r="I340" s="5">
        <f t="shared" si="5"/>
        <v>46037</v>
      </c>
      <c r="J340" s="3">
        <f>IF(COUNTIFS($C$2:C340,C340,$I$2:I340,I340)=1,1,0)</f>
        <v>1</v>
      </c>
    </row>
    <row r="341" spans="1:10" x14ac:dyDescent="0.3">
      <c r="A341" s="3" t="s">
        <v>354</v>
      </c>
      <c r="B341" s="3">
        <v>177</v>
      </c>
      <c r="C341" s="3">
        <v>26</v>
      </c>
      <c r="D341" s="4">
        <v>46050.930555555555</v>
      </c>
      <c r="E341" s="3">
        <v>1499</v>
      </c>
      <c r="F341" s="3" t="s">
        <v>12</v>
      </c>
      <c r="G341" s="3" t="s">
        <v>10</v>
      </c>
      <c r="H341" s="3">
        <v>16</v>
      </c>
      <c r="I341" s="5">
        <f t="shared" si="5"/>
        <v>46050</v>
      </c>
      <c r="J341" s="3">
        <f>IF(COUNTIFS($C$2:C341,C341,$I$2:I341,I341)=1,1,0)</f>
        <v>1</v>
      </c>
    </row>
    <row r="342" spans="1:10" x14ac:dyDescent="0.3">
      <c r="A342" s="3" t="s">
        <v>355</v>
      </c>
      <c r="B342" s="3">
        <v>288</v>
      </c>
      <c r="C342" s="3">
        <v>7</v>
      </c>
      <c r="D342" s="4">
        <v>46047.480555555558</v>
      </c>
      <c r="E342" s="3">
        <v>99</v>
      </c>
      <c r="F342" s="3" t="s">
        <v>15</v>
      </c>
      <c r="G342" s="3" t="s">
        <v>10</v>
      </c>
      <c r="H342" s="3">
        <v>40</v>
      </c>
      <c r="I342" s="5">
        <f t="shared" si="5"/>
        <v>46047</v>
      </c>
      <c r="J342" s="3">
        <f>IF(COUNTIFS($C$2:C342,C342,$I$2:I342,I342)=1,1,0)</f>
        <v>1</v>
      </c>
    </row>
    <row r="343" spans="1:10" x14ac:dyDescent="0.3">
      <c r="A343" s="3" t="s">
        <v>356</v>
      </c>
      <c r="B343" s="3">
        <v>137</v>
      </c>
      <c r="C343" s="3">
        <v>29</v>
      </c>
      <c r="D343" s="4">
        <v>46030.588194444441</v>
      </c>
      <c r="E343" s="3">
        <v>2999</v>
      </c>
      <c r="F343" s="3" t="s">
        <v>12</v>
      </c>
      <c r="G343" s="3" t="s">
        <v>25</v>
      </c>
      <c r="H343" s="3">
        <v>31</v>
      </c>
      <c r="I343" s="5">
        <f t="shared" si="5"/>
        <v>46030</v>
      </c>
      <c r="J343" s="3">
        <f>IF(COUNTIFS($C$2:C343,C343,$I$2:I343,I343)=1,1,0)</f>
        <v>1</v>
      </c>
    </row>
    <row r="344" spans="1:10" x14ac:dyDescent="0.3">
      <c r="A344" s="3" t="s">
        <v>357</v>
      </c>
      <c r="B344" s="3">
        <v>149</v>
      </c>
      <c r="C344" s="3">
        <v>25</v>
      </c>
      <c r="D344" s="4">
        <v>46027.127083333333</v>
      </c>
      <c r="E344" s="3">
        <v>1499</v>
      </c>
      <c r="F344" s="3" t="s">
        <v>12</v>
      </c>
      <c r="G344" s="3" t="s">
        <v>10</v>
      </c>
      <c r="H344" s="3">
        <v>78</v>
      </c>
      <c r="I344" s="5">
        <f t="shared" si="5"/>
        <v>46027</v>
      </c>
      <c r="J344" s="3">
        <f>IF(COUNTIFS($C$2:C344,C344,$I$2:I344,I344)=1,1,0)</f>
        <v>0</v>
      </c>
    </row>
    <row r="345" spans="1:10" x14ac:dyDescent="0.3">
      <c r="A345" s="3" t="s">
        <v>358</v>
      </c>
      <c r="B345" s="3">
        <v>82</v>
      </c>
      <c r="C345" s="3">
        <v>21</v>
      </c>
      <c r="D345" s="4">
        <v>46036.329861111109</v>
      </c>
      <c r="E345" s="3">
        <v>49</v>
      </c>
      <c r="F345" s="3" t="s">
        <v>9</v>
      </c>
      <c r="G345" s="3" t="s">
        <v>10</v>
      </c>
      <c r="H345" s="3">
        <v>73</v>
      </c>
      <c r="I345" s="5">
        <f t="shared" si="5"/>
        <v>46036</v>
      </c>
      <c r="J345" s="3">
        <f>IF(COUNTIFS($C$2:C345,C345,$I$2:I345,I345)=1,1,0)</f>
        <v>1</v>
      </c>
    </row>
    <row r="346" spans="1:10" x14ac:dyDescent="0.3">
      <c r="A346" s="3" t="s">
        <v>359</v>
      </c>
      <c r="B346" s="3">
        <v>82</v>
      </c>
      <c r="C346" s="3">
        <v>32</v>
      </c>
      <c r="D346" s="4">
        <v>46046.425000000003</v>
      </c>
      <c r="E346" s="3">
        <v>49</v>
      </c>
      <c r="F346" s="3" t="s">
        <v>12</v>
      </c>
      <c r="G346" s="3" t="s">
        <v>10</v>
      </c>
      <c r="H346" s="3">
        <v>65</v>
      </c>
      <c r="I346" s="5">
        <f t="shared" si="5"/>
        <v>46046</v>
      </c>
      <c r="J346" s="3">
        <f>IF(COUNTIFS($C$2:C346,C346,$I$2:I346,I346)=1,1,0)</f>
        <v>1</v>
      </c>
    </row>
    <row r="347" spans="1:10" x14ac:dyDescent="0.3">
      <c r="A347" s="3" t="s">
        <v>360</v>
      </c>
      <c r="B347" s="3">
        <v>158</v>
      </c>
      <c r="C347" s="3">
        <v>32</v>
      </c>
      <c r="D347" s="4">
        <v>46037.663888888892</v>
      </c>
      <c r="E347" s="3">
        <v>99</v>
      </c>
      <c r="F347" s="3" t="s">
        <v>9</v>
      </c>
      <c r="G347" s="3" t="s">
        <v>10</v>
      </c>
      <c r="H347" s="3">
        <v>2</v>
      </c>
      <c r="I347" s="5">
        <f t="shared" si="5"/>
        <v>46037</v>
      </c>
      <c r="J347" s="3">
        <f>IF(COUNTIFS($C$2:C347,C347,$I$2:I347,I347)=1,1,0)</f>
        <v>1</v>
      </c>
    </row>
    <row r="348" spans="1:10" x14ac:dyDescent="0.3">
      <c r="A348" s="3" t="s">
        <v>361</v>
      </c>
      <c r="B348" s="3">
        <v>235</v>
      </c>
      <c r="C348" s="3">
        <v>16</v>
      </c>
      <c r="D348" s="4">
        <v>46025.522222222222</v>
      </c>
      <c r="E348" s="3">
        <v>99</v>
      </c>
      <c r="F348" s="3" t="s">
        <v>12</v>
      </c>
      <c r="G348" s="3" t="s">
        <v>10</v>
      </c>
      <c r="H348" s="3">
        <v>27</v>
      </c>
      <c r="I348" s="5">
        <f t="shared" si="5"/>
        <v>46025</v>
      </c>
      <c r="J348" s="3">
        <f>IF(COUNTIFS($C$2:C348,C348,$I$2:I348,I348)=1,1,0)</f>
        <v>1</v>
      </c>
    </row>
    <row r="349" spans="1:10" x14ac:dyDescent="0.3">
      <c r="A349" s="3" t="s">
        <v>362</v>
      </c>
      <c r="B349" s="3">
        <v>26</v>
      </c>
      <c r="C349" s="3">
        <v>19</v>
      </c>
      <c r="D349" s="4">
        <v>46041.460416666669</v>
      </c>
      <c r="E349" s="3">
        <v>99</v>
      </c>
      <c r="F349" s="3" t="s">
        <v>9</v>
      </c>
      <c r="G349" s="3" t="s">
        <v>10</v>
      </c>
      <c r="H349" s="3">
        <v>63</v>
      </c>
      <c r="I349" s="5">
        <f t="shared" si="5"/>
        <v>46041</v>
      </c>
      <c r="J349" s="3">
        <f>IF(COUNTIFS($C$2:C349,C349,$I$2:I349,I349)=1,1,0)</f>
        <v>1</v>
      </c>
    </row>
    <row r="350" spans="1:10" x14ac:dyDescent="0.3">
      <c r="A350" s="3" t="s">
        <v>363</v>
      </c>
      <c r="B350" s="3">
        <v>241</v>
      </c>
      <c r="C350" s="3">
        <v>19</v>
      </c>
      <c r="D350" s="4">
        <v>46042.863194444442</v>
      </c>
      <c r="E350" s="3">
        <v>299</v>
      </c>
      <c r="F350" s="3" t="s">
        <v>12</v>
      </c>
      <c r="G350" s="3" t="s">
        <v>10</v>
      </c>
      <c r="H350" s="3">
        <v>68</v>
      </c>
      <c r="I350" s="5">
        <f t="shared" si="5"/>
        <v>46042</v>
      </c>
      <c r="J350" s="3">
        <f>IF(COUNTIFS($C$2:C350,C350,$I$2:I350,I350)=1,1,0)</f>
        <v>0</v>
      </c>
    </row>
    <row r="351" spans="1:10" x14ac:dyDescent="0.3">
      <c r="A351" s="3" t="s">
        <v>364</v>
      </c>
      <c r="B351" s="3">
        <v>69</v>
      </c>
      <c r="C351" s="3">
        <v>17</v>
      </c>
      <c r="D351" s="4">
        <v>46023.143750000003</v>
      </c>
      <c r="E351" s="3">
        <v>1499</v>
      </c>
      <c r="F351" s="3" t="s">
        <v>12</v>
      </c>
      <c r="G351" s="3" t="s">
        <v>10</v>
      </c>
      <c r="H351" s="3">
        <v>93</v>
      </c>
      <c r="I351" s="5">
        <f t="shared" si="5"/>
        <v>46023</v>
      </c>
      <c r="J351" s="3">
        <f>IF(COUNTIFS($C$2:C351,C351,$I$2:I351,I351)=1,1,0)</f>
        <v>1</v>
      </c>
    </row>
    <row r="352" spans="1:10" x14ac:dyDescent="0.3">
      <c r="A352" s="3" t="s">
        <v>365</v>
      </c>
      <c r="B352" s="3">
        <v>24</v>
      </c>
      <c r="C352" s="3">
        <v>26</v>
      </c>
      <c r="D352" s="4">
        <v>46034.515972222223</v>
      </c>
      <c r="E352" s="3">
        <v>299</v>
      </c>
      <c r="F352" s="3" t="s">
        <v>15</v>
      </c>
      <c r="G352" s="3" t="s">
        <v>10</v>
      </c>
      <c r="H352" s="3">
        <v>6</v>
      </c>
      <c r="I352" s="5">
        <f t="shared" si="5"/>
        <v>46034</v>
      </c>
      <c r="J352" s="3">
        <f>IF(COUNTIFS($C$2:C352,C352,$I$2:I352,I352)=1,1,0)</f>
        <v>1</v>
      </c>
    </row>
    <row r="353" spans="1:10" x14ac:dyDescent="0.3">
      <c r="A353" s="3" t="s">
        <v>366</v>
      </c>
      <c r="B353" s="3">
        <v>186</v>
      </c>
      <c r="C353" s="3">
        <v>36</v>
      </c>
      <c r="D353" s="4">
        <v>46041.716666666667</v>
      </c>
      <c r="E353" s="3">
        <v>4999</v>
      </c>
      <c r="F353" s="3" t="s">
        <v>12</v>
      </c>
      <c r="G353" s="3" t="s">
        <v>10</v>
      </c>
      <c r="H353" s="3">
        <v>36</v>
      </c>
      <c r="I353" s="5">
        <f t="shared" si="5"/>
        <v>46041</v>
      </c>
      <c r="J353" s="3">
        <f>IF(COUNTIFS($C$2:C353,C353,$I$2:I353,I353)=1,1,0)</f>
        <v>1</v>
      </c>
    </row>
    <row r="354" spans="1:10" x14ac:dyDescent="0.3">
      <c r="A354" s="3" t="s">
        <v>367</v>
      </c>
      <c r="B354" s="3">
        <v>231</v>
      </c>
      <c r="C354" s="3">
        <v>36</v>
      </c>
      <c r="D354" s="4">
        <v>46025.522222222222</v>
      </c>
      <c r="E354" s="3">
        <v>149</v>
      </c>
      <c r="F354" s="3" t="s">
        <v>12</v>
      </c>
      <c r="G354" s="3" t="s">
        <v>10</v>
      </c>
      <c r="H354" s="3">
        <v>35</v>
      </c>
      <c r="I354" s="5">
        <f t="shared" si="5"/>
        <v>46025</v>
      </c>
      <c r="J354" s="3">
        <f>IF(COUNTIFS($C$2:C354,C354,$I$2:I354,I354)=1,1,0)</f>
        <v>1</v>
      </c>
    </row>
    <row r="355" spans="1:10" x14ac:dyDescent="0.3">
      <c r="A355" s="3" t="s">
        <v>368</v>
      </c>
      <c r="B355" s="3">
        <v>313</v>
      </c>
      <c r="C355" s="3">
        <v>8</v>
      </c>
      <c r="D355" s="4">
        <v>46049.821527777778</v>
      </c>
      <c r="E355" s="3">
        <v>1499</v>
      </c>
      <c r="F355" s="3" t="s">
        <v>15</v>
      </c>
      <c r="G355" s="3" t="s">
        <v>10</v>
      </c>
      <c r="H355" s="3">
        <v>16</v>
      </c>
      <c r="I355" s="5">
        <f t="shared" si="5"/>
        <v>46049</v>
      </c>
      <c r="J355" s="3">
        <f>IF(COUNTIFS($C$2:C355,C355,$I$2:I355,I355)=1,1,0)</f>
        <v>1</v>
      </c>
    </row>
    <row r="356" spans="1:10" x14ac:dyDescent="0.3">
      <c r="A356" s="3" t="s">
        <v>369</v>
      </c>
      <c r="B356" s="3">
        <v>174</v>
      </c>
      <c r="C356" s="3">
        <v>36</v>
      </c>
      <c r="D356" s="4">
        <v>46026.515972222223</v>
      </c>
      <c r="E356" s="3">
        <v>149</v>
      </c>
      <c r="F356" s="3" t="s">
        <v>12</v>
      </c>
      <c r="G356" s="3" t="s">
        <v>10</v>
      </c>
      <c r="H356" s="3">
        <v>46</v>
      </c>
      <c r="I356" s="5">
        <f t="shared" si="5"/>
        <v>46026</v>
      </c>
      <c r="J356" s="3">
        <f>IF(COUNTIFS($C$2:C356,C356,$I$2:I356,I356)=1,1,0)</f>
        <v>1</v>
      </c>
    </row>
    <row r="357" spans="1:10" x14ac:dyDescent="0.3">
      <c r="A357" s="3" t="s">
        <v>370</v>
      </c>
      <c r="B357" s="3">
        <v>309</v>
      </c>
      <c r="C357" s="3">
        <v>33</v>
      </c>
      <c r="D357" s="4">
        <v>46047.175000000003</v>
      </c>
      <c r="E357" s="3">
        <v>99</v>
      </c>
      <c r="F357" s="3" t="s">
        <v>12</v>
      </c>
      <c r="G357" s="3" t="s">
        <v>10</v>
      </c>
      <c r="H357" s="3">
        <v>51</v>
      </c>
      <c r="I357" s="5">
        <f t="shared" si="5"/>
        <v>46047</v>
      </c>
      <c r="J357" s="3">
        <f>IF(COUNTIFS($C$2:C357,C357,$I$2:I357,I357)=1,1,0)</f>
        <v>1</v>
      </c>
    </row>
    <row r="358" spans="1:10" x14ac:dyDescent="0.3">
      <c r="A358" s="3" t="s">
        <v>371</v>
      </c>
      <c r="B358" s="3">
        <v>20</v>
      </c>
      <c r="C358" s="3">
        <v>9</v>
      </c>
      <c r="D358" s="4">
        <v>46039.043055555558</v>
      </c>
      <c r="E358" s="3">
        <v>99</v>
      </c>
      <c r="F358" s="3" t="s">
        <v>12</v>
      </c>
      <c r="G358" s="3" t="s">
        <v>10</v>
      </c>
      <c r="H358" s="3">
        <v>91</v>
      </c>
      <c r="I358" s="5">
        <f t="shared" si="5"/>
        <v>46039</v>
      </c>
      <c r="J358" s="3">
        <f>IF(COUNTIFS($C$2:C358,C358,$I$2:I358,I358)=1,1,0)</f>
        <v>0</v>
      </c>
    </row>
    <row r="359" spans="1:10" x14ac:dyDescent="0.3">
      <c r="A359" s="3" t="s">
        <v>372</v>
      </c>
      <c r="B359" s="3">
        <v>234</v>
      </c>
      <c r="C359" s="3">
        <v>10</v>
      </c>
      <c r="D359" s="4">
        <v>46033.647916666669</v>
      </c>
      <c r="E359" s="3">
        <v>49</v>
      </c>
      <c r="F359" s="3" t="s">
        <v>12</v>
      </c>
      <c r="G359" s="3" t="s">
        <v>10</v>
      </c>
      <c r="H359" s="3">
        <v>77</v>
      </c>
      <c r="I359" s="5">
        <f t="shared" si="5"/>
        <v>46033</v>
      </c>
      <c r="J359" s="3">
        <f>IF(COUNTIFS($C$2:C359,C359,$I$2:I359,I359)=1,1,0)</f>
        <v>0</v>
      </c>
    </row>
    <row r="360" spans="1:10" x14ac:dyDescent="0.3">
      <c r="A360" s="3" t="s">
        <v>373</v>
      </c>
      <c r="B360" s="3">
        <v>168</v>
      </c>
      <c r="C360" s="3">
        <v>40</v>
      </c>
      <c r="D360" s="4">
        <v>46051.672222222223</v>
      </c>
      <c r="E360" s="3">
        <v>149</v>
      </c>
      <c r="F360" s="3" t="s">
        <v>12</v>
      </c>
      <c r="G360" s="3" t="s">
        <v>38</v>
      </c>
      <c r="H360" s="3">
        <v>40</v>
      </c>
      <c r="I360" s="5">
        <f t="shared" si="5"/>
        <v>46051</v>
      </c>
      <c r="J360" s="3">
        <f>IF(COUNTIFS($C$2:C360,C360,$I$2:I360,I360)=1,1,0)</f>
        <v>1</v>
      </c>
    </row>
    <row r="361" spans="1:10" x14ac:dyDescent="0.3">
      <c r="A361" s="3" t="s">
        <v>374</v>
      </c>
      <c r="B361" s="3">
        <v>154</v>
      </c>
      <c r="C361" s="3">
        <v>38</v>
      </c>
      <c r="D361" s="4">
        <v>46028.527083333334</v>
      </c>
      <c r="E361" s="3">
        <v>99</v>
      </c>
      <c r="F361" s="3" t="s">
        <v>15</v>
      </c>
      <c r="G361" s="3" t="s">
        <v>10</v>
      </c>
      <c r="H361" s="3">
        <v>43</v>
      </c>
      <c r="I361" s="5">
        <f t="shared" si="5"/>
        <v>46028</v>
      </c>
      <c r="J361" s="3">
        <f>IF(COUNTIFS($C$2:C361,C361,$I$2:I361,I361)=1,1,0)</f>
        <v>1</v>
      </c>
    </row>
    <row r="362" spans="1:10" x14ac:dyDescent="0.3">
      <c r="A362" s="3" t="s">
        <v>375</v>
      </c>
      <c r="B362" s="3">
        <v>251</v>
      </c>
      <c r="C362" s="3">
        <v>37</v>
      </c>
      <c r="D362" s="4">
        <v>46039.69027777778</v>
      </c>
      <c r="E362" s="3">
        <v>49</v>
      </c>
      <c r="F362" s="3" t="s">
        <v>12</v>
      </c>
      <c r="G362" s="3" t="s">
        <v>10</v>
      </c>
      <c r="H362" s="3">
        <v>38</v>
      </c>
      <c r="I362" s="5">
        <f t="shared" si="5"/>
        <v>46039</v>
      </c>
      <c r="J362" s="3">
        <f>IF(COUNTIFS($C$2:C362,C362,$I$2:I362,I362)=1,1,0)</f>
        <v>1</v>
      </c>
    </row>
    <row r="363" spans="1:10" x14ac:dyDescent="0.3">
      <c r="A363" s="3" t="s">
        <v>376</v>
      </c>
      <c r="B363" s="3">
        <v>170</v>
      </c>
      <c r="C363" s="3">
        <v>8</v>
      </c>
      <c r="D363" s="4">
        <v>46038.015972222223</v>
      </c>
      <c r="E363" s="3">
        <v>2999</v>
      </c>
      <c r="F363" s="3" t="s">
        <v>12</v>
      </c>
      <c r="G363" s="3" t="s">
        <v>10</v>
      </c>
      <c r="H363" s="3">
        <v>53</v>
      </c>
      <c r="I363" s="5">
        <f t="shared" si="5"/>
        <v>46038</v>
      </c>
      <c r="J363" s="3">
        <f>IF(COUNTIFS($C$2:C363,C363,$I$2:I363,I363)=1,1,0)</f>
        <v>1</v>
      </c>
    </row>
    <row r="364" spans="1:10" x14ac:dyDescent="0.3">
      <c r="A364" s="3" t="s">
        <v>377</v>
      </c>
      <c r="B364" s="3">
        <v>323</v>
      </c>
      <c r="C364" s="3">
        <v>2</v>
      </c>
      <c r="D364" s="4">
        <v>46041.409722222219</v>
      </c>
      <c r="E364" s="3">
        <v>49</v>
      </c>
      <c r="F364" s="3" t="s">
        <v>15</v>
      </c>
      <c r="G364" s="3" t="s">
        <v>10</v>
      </c>
      <c r="H364" s="3">
        <v>76</v>
      </c>
      <c r="I364" s="5">
        <f t="shared" si="5"/>
        <v>46041</v>
      </c>
      <c r="J364" s="3">
        <f>IF(COUNTIFS($C$2:C364,C364,$I$2:I364,I364)=1,1,0)</f>
        <v>1</v>
      </c>
    </row>
    <row r="365" spans="1:10" x14ac:dyDescent="0.3">
      <c r="A365" s="3" t="s">
        <v>378</v>
      </c>
      <c r="B365" s="3">
        <v>297</v>
      </c>
      <c r="C365" s="3">
        <v>37</v>
      </c>
      <c r="D365" s="4">
        <v>46038.361805555556</v>
      </c>
      <c r="E365" s="3">
        <v>2999</v>
      </c>
      <c r="F365" s="3" t="s">
        <v>9</v>
      </c>
      <c r="G365" s="3" t="s">
        <v>10</v>
      </c>
      <c r="H365" s="3">
        <v>29</v>
      </c>
      <c r="I365" s="5">
        <f t="shared" si="5"/>
        <v>46038</v>
      </c>
      <c r="J365" s="3">
        <f>IF(COUNTIFS($C$2:C365,C365,$I$2:I365,I365)=1,1,0)</f>
        <v>1</v>
      </c>
    </row>
    <row r="366" spans="1:10" x14ac:dyDescent="0.3">
      <c r="A366" s="3" t="s">
        <v>379</v>
      </c>
      <c r="B366" s="3">
        <v>246</v>
      </c>
      <c r="C366" s="3">
        <v>11</v>
      </c>
      <c r="D366" s="4">
        <v>46046.067361111112</v>
      </c>
      <c r="E366" s="3">
        <v>299</v>
      </c>
      <c r="F366" s="3" t="s">
        <v>12</v>
      </c>
      <c r="G366" s="3" t="s">
        <v>10</v>
      </c>
      <c r="H366" s="3">
        <v>67</v>
      </c>
      <c r="I366" s="5">
        <f t="shared" si="5"/>
        <v>46046</v>
      </c>
      <c r="J366" s="3">
        <f>IF(COUNTIFS($C$2:C366,C366,$I$2:I366,I366)=1,1,0)</f>
        <v>0</v>
      </c>
    </row>
    <row r="367" spans="1:10" x14ac:dyDescent="0.3">
      <c r="A367" s="3" t="s">
        <v>380</v>
      </c>
      <c r="B367" s="3">
        <v>195</v>
      </c>
      <c r="C367" s="3">
        <v>10</v>
      </c>
      <c r="D367" s="4">
        <v>46043.98541666667</v>
      </c>
      <c r="E367" s="3">
        <v>99</v>
      </c>
      <c r="F367" s="3" t="s">
        <v>12</v>
      </c>
      <c r="G367" s="3" t="s">
        <v>10</v>
      </c>
      <c r="H367" s="3">
        <v>87</v>
      </c>
      <c r="I367" s="5">
        <f t="shared" si="5"/>
        <v>46043</v>
      </c>
      <c r="J367" s="3">
        <f>IF(COUNTIFS($C$2:C367,C367,$I$2:I367,I367)=1,1,0)</f>
        <v>0</v>
      </c>
    </row>
    <row r="368" spans="1:10" x14ac:dyDescent="0.3">
      <c r="A368" s="3" t="s">
        <v>381</v>
      </c>
      <c r="B368" s="3">
        <v>57</v>
      </c>
      <c r="C368" s="3">
        <v>13</v>
      </c>
      <c r="D368" s="4">
        <v>46030.066666666666</v>
      </c>
      <c r="E368" s="3">
        <v>149</v>
      </c>
      <c r="F368" s="3" t="s">
        <v>12</v>
      </c>
      <c r="G368" s="3" t="s">
        <v>10</v>
      </c>
      <c r="H368" s="3">
        <v>2</v>
      </c>
      <c r="I368" s="5">
        <f t="shared" si="5"/>
        <v>46030</v>
      </c>
      <c r="J368" s="3">
        <f>IF(COUNTIFS($C$2:C368,C368,$I$2:I368,I368)=1,1,0)</f>
        <v>1</v>
      </c>
    </row>
    <row r="369" spans="1:10" x14ac:dyDescent="0.3">
      <c r="A369" s="3" t="s">
        <v>382</v>
      </c>
      <c r="B369" s="3">
        <v>78</v>
      </c>
      <c r="C369" s="3">
        <v>27</v>
      </c>
      <c r="D369" s="4">
        <v>46037.43472222222</v>
      </c>
      <c r="E369" s="3">
        <v>1499</v>
      </c>
      <c r="F369" s="3" t="s">
        <v>15</v>
      </c>
      <c r="G369" s="3" t="s">
        <v>25</v>
      </c>
      <c r="H369" s="3">
        <v>88</v>
      </c>
      <c r="I369" s="5">
        <f t="shared" si="5"/>
        <v>46037</v>
      </c>
      <c r="J369" s="3">
        <f>IF(COUNTIFS($C$2:C369,C369,$I$2:I369,I369)=1,1,0)</f>
        <v>1</v>
      </c>
    </row>
    <row r="370" spans="1:10" x14ac:dyDescent="0.3">
      <c r="A370" s="3" t="s">
        <v>383</v>
      </c>
      <c r="B370" s="3">
        <v>314</v>
      </c>
      <c r="C370" s="3">
        <v>31</v>
      </c>
      <c r="D370" s="4">
        <v>46029.563888888886</v>
      </c>
      <c r="E370" s="3">
        <v>49</v>
      </c>
      <c r="F370" s="3" t="s">
        <v>12</v>
      </c>
      <c r="G370" s="3" t="s">
        <v>38</v>
      </c>
      <c r="H370" s="3">
        <v>94</v>
      </c>
      <c r="I370" s="5">
        <f t="shared" si="5"/>
        <v>46029</v>
      </c>
      <c r="J370" s="3">
        <f>IF(COUNTIFS($C$2:C370,C370,$I$2:I370,I370)=1,1,0)</f>
        <v>1</v>
      </c>
    </row>
    <row r="371" spans="1:10" x14ac:dyDescent="0.3">
      <c r="A371" s="3" t="s">
        <v>384</v>
      </c>
      <c r="B371" s="3">
        <v>71</v>
      </c>
      <c r="C371" s="3">
        <v>34</v>
      </c>
      <c r="D371" s="4">
        <v>46046.072916666664</v>
      </c>
      <c r="E371" s="3">
        <v>499</v>
      </c>
      <c r="F371" s="3" t="s">
        <v>12</v>
      </c>
      <c r="G371" s="3" t="s">
        <v>10</v>
      </c>
      <c r="H371" s="3">
        <v>26</v>
      </c>
      <c r="I371" s="5">
        <f t="shared" si="5"/>
        <v>46046</v>
      </c>
      <c r="J371" s="3">
        <f>IF(COUNTIFS($C$2:C371,C371,$I$2:I371,I371)=1,1,0)</f>
        <v>0</v>
      </c>
    </row>
    <row r="372" spans="1:10" x14ac:dyDescent="0.3">
      <c r="A372" s="3" t="s">
        <v>385</v>
      </c>
      <c r="B372" s="3">
        <v>245</v>
      </c>
      <c r="C372" s="3">
        <v>34</v>
      </c>
      <c r="D372" s="4">
        <v>46040.445833333331</v>
      </c>
      <c r="E372" s="3">
        <v>99</v>
      </c>
      <c r="F372" s="3" t="s">
        <v>12</v>
      </c>
      <c r="G372" s="3" t="s">
        <v>10</v>
      </c>
      <c r="H372" s="3">
        <v>48</v>
      </c>
      <c r="I372" s="5">
        <f t="shared" si="5"/>
        <v>46040</v>
      </c>
      <c r="J372" s="3">
        <f>IF(COUNTIFS($C$2:C372,C372,$I$2:I372,I372)=1,1,0)</f>
        <v>1</v>
      </c>
    </row>
    <row r="373" spans="1:10" x14ac:dyDescent="0.3">
      <c r="A373" s="3" t="s">
        <v>386</v>
      </c>
      <c r="B373" s="3">
        <v>273</v>
      </c>
      <c r="C373" s="3">
        <v>22</v>
      </c>
      <c r="D373" s="4">
        <v>46033.228472222225</v>
      </c>
      <c r="E373" s="3">
        <v>299</v>
      </c>
      <c r="F373" s="3" t="s">
        <v>9</v>
      </c>
      <c r="G373" s="3" t="s">
        <v>10</v>
      </c>
      <c r="H373" s="3">
        <v>69</v>
      </c>
      <c r="I373" s="5">
        <f t="shared" si="5"/>
        <v>46033</v>
      </c>
      <c r="J373" s="3">
        <f>IF(COUNTIFS($C$2:C373,C373,$I$2:I373,I373)=1,1,0)</f>
        <v>1</v>
      </c>
    </row>
    <row r="374" spans="1:10" x14ac:dyDescent="0.3">
      <c r="A374" s="3" t="s">
        <v>387</v>
      </c>
      <c r="B374" s="3">
        <v>349</v>
      </c>
      <c r="C374" s="3">
        <v>17</v>
      </c>
      <c r="D374" s="4">
        <v>46034.90902777778</v>
      </c>
      <c r="E374" s="3">
        <v>1499</v>
      </c>
      <c r="F374" s="3" t="s">
        <v>12</v>
      </c>
      <c r="G374" s="3" t="s">
        <v>10</v>
      </c>
      <c r="H374" s="3">
        <v>78</v>
      </c>
      <c r="I374" s="5">
        <f t="shared" si="5"/>
        <v>46034</v>
      </c>
      <c r="J374" s="3">
        <f>IF(COUNTIFS($C$2:C374,C374,$I$2:I374,I374)=1,1,0)</f>
        <v>1</v>
      </c>
    </row>
    <row r="375" spans="1:10" x14ac:dyDescent="0.3">
      <c r="A375" s="3" t="s">
        <v>388</v>
      </c>
      <c r="B375" s="3">
        <v>143</v>
      </c>
      <c r="C375" s="3">
        <v>36</v>
      </c>
      <c r="D375" s="4">
        <v>46038.260416666664</v>
      </c>
      <c r="E375" s="3">
        <v>1499</v>
      </c>
      <c r="F375" s="3" t="s">
        <v>15</v>
      </c>
      <c r="G375" s="3" t="s">
        <v>10</v>
      </c>
      <c r="H375" s="3">
        <v>38</v>
      </c>
      <c r="I375" s="5">
        <f t="shared" si="5"/>
        <v>46038</v>
      </c>
      <c r="J375" s="3">
        <f>IF(COUNTIFS($C$2:C375,C375,$I$2:I375,I375)=1,1,0)</f>
        <v>1</v>
      </c>
    </row>
    <row r="376" spans="1:10" x14ac:dyDescent="0.3">
      <c r="A376" s="3" t="s">
        <v>389</v>
      </c>
      <c r="B376" s="3">
        <v>148</v>
      </c>
      <c r="C376" s="3">
        <v>14</v>
      </c>
      <c r="D376" s="4">
        <v>46030.40902777778</v>
      </c>
      <c r="E376" s="3">
        <v>799</v>
      </c>
      <c r="F376" s="3" t="s">
        <v>9</v>
      </c>
      <c r="G376" s="3" t="s">
        <v>10</v>
      </c>
      <c r="H376" s="3">
        <v>88</v>
      </c>
      <c r="I376" s="5">
        <f t="shared" si="5"/>
        <v>46030</v>
      </c>
      <c r="J376" s="3">
        <f>IF(COUNTIFS($C$2:C376,C376,$I$2:I376,I376)=1,1,0)</f>
        <v>1</v>
      </c>
    </row>
    <row r="377" spans="1:10" x14ac:dyDescent="0.3">
      <c r="A377" s="3" t="s">
        <v>390</v>
      </c>
      <c r="B377" s="3">
        <v>246</v>
      </c>
      <c r="C377" s="3">
        <v>23</v>
      </c>
      <c r="D377" s="4">
        <v>46045.638888888891</v>
      </c>
      <c r="E377" s="3">
        <v>49</v>
      </c>
      <c r="F377" s="3" t="s">
        <v>12</v>
      </c>
      <c r="G377" s="3" t="s">
        <v>10</v>
      </c>
      <c r="H377" s="3">
        <v>71</v>
      </c>
      <c r="I377" s="5">
        <f t="shared" si="5"/>
        <v>46045</v>
      </c>
      <c r="J377" s="3">
        <f>IF(COUNTIFS($C$2:C377,C377,$I$2:I377,I377)=1,1,0)</f>
        <v>0</v>
      </c>
    </row>
    <row r="378" spans="1:10" x14ac:dyDescent="0.3">
      <c r="A378" s="3" t="s">
        <v>391</v>
      </c>
      <c r="B378" s="3">
        <v>148</v>
      </c>
      <c r="C378" s="3">
        <v>8</v>
      </c>
      <c r="D378" s="4">
        <v>46052.970138888886</v>
      </c>
      <c r="E378" s="3">
        <v>99</v>
      </c>
      <c r="F378" s="3" t="s">
        <v>9</v>
      </c>
      <c r="G378" s="3" t="s">
        <v>10</v>
      </c>
      <c r="H378" s="3">
        <v>73</v>
      </c>
      <c r="I378" s="5">
        <f t="shared" si="5"/>
        <v>46052</v>
      </c>
      <c r="J378" s="3">
        <f>IF(COUNTIFS($C$2:C378,C378,$I$2:I378,I378)=1,1,0)</f>
        <v>1</v>
      </c>
    </row>
    <row r="379" spans="1:10" x14ac:dyDescent="0.3">
      <c r="A379" s="3" t="s">
        <v>392</v>
      </c>
      <c r="B379" s="3">
        <v>203</v>
      </c>
      <c r="C379" s="3">
        <v>23</v>
      </c>
      <c r="D379" s="4">
        <v>46044.724999999999</v>
      </c>
      <c r="E379" s="3">
        <v>49</v>
      </c>
      <c r="F379" s="3" t="s">
        <v>12</v>
      </c>
      <c r="G379" s="3" t="s">
        <v>10</v>
      </c>
      <c r="H379" s="3">
        <v>98</v>
      </c>
      <c r="I379" s="5">
        <f t="shared" si="5"/>
        <v>46044</v>
      </c>
      <c r="J379" s="3">
        <f>IF(COUNTIFS($C$2:C379,C379,$I$2:I379,I379)=1,1,0)</f>
        <v>1</v>
      </c>
    </row>
    <row r="380" spans="1:10" x14ac:dyDescent="0.3">
      <c r="A380" s="3" t="s">
        <v>393</v>
      </c>
      <c r="B380" s="3">
        <v>22</v>
      </c>
      <c r="C380" s="3">
        <v>19</v>
      </c>
      <c r="D380" s="4">
        <v>46048.179166666669</v>
      </c>
      <c r="E380" s="3">
        <v>49</v>
      </c>
      <c r="F380" s="3" t="s">
        <v>24</v>
      </c>
      <c r="G380" s="3" t="s">
        <v>10</v>
      </c>
      <c r="H380" s="3">
        <v>91</v>
      </c>
      <c r="I380" s="5">
        <f t="shared" si="5"/>
        <v>46048</v>
      </c>
      <c r="J380" s="3">
        <f>IF(COUNTIFS($C$2:C380,C380,$I$2:I380,I380)=1,1,0)</f>
        <v>1</v>
      </c>
    </row>
    <row r="381" spans="1:10" x14ac:dyDescent="0.3">
      <c r="A381" s="3" t="s">
        <v>394</v>
      </c>
      <c r="B381" s="3">
        <v>227</v>
      </c>
      <c r="C381" s="3">
        <v>17</v>
      </c>
      <c r="D381" s="4">
        <v>46025.499305555553</v>
      </c>
      <c r="E381" s="3">
        <v>299</v>
      </c>
      <c r="F381" s="3" t="s">
        <v>9</v>
      </c>
      <c r="G381" s="3" t="s">
        <v>10</v>
      </c>
      <c r="H381" s="3">
        <v>95</v>
      </c>
      <c r="I381" s="5">
        <f t="shared" si="5"/>
        <v>46025</v>
      </c>
      <c r="J381" s="3">
        <f>IF(COUNTIFS($C$2:C381,C381,$I$2:I381,I381)=1,1,0)</f>
        <v>0</v>
      </c>
    </row>
    <row r="382" spans="1:10" x14ac:dyDescent="0.3">
      <c r="A382" s="3" t="s">
        <v>395</v>
      </c>
      <c r="B382" s="3">
        <v>276</v>
      </c>
      <c r="C382" s="3">
        <v>18</v>
      </c>
      <c r="D382" s="4">
        <v>46038.258333333331</v>
      </c>
      <c r="E382" s="3">
        <v>149</v>
      </c>
      <c r="F382" s="3" t="s">
        <v>9</v>
      </c>
      <c r="G382" s="3" t="s">
        <v>10</v>
      </c>
      <c r="H382" s="3">
        <v>71</v>
      </c>
      <c r="I382" s="5">
        <f t="shared" si="5"/>
        <v>46038</v>
      </c>
      <c r="J382" s="3">
        <f>IF(COUNTIFS($C$2:C382,C382,$I$2:I382,I382)=1,1,0)</f>
        <v>0</v>
      </c>
    </row>
    <row r="383" spans="1:10" x14ac:dyDescent="0.3">
      <c r="A383" s="3" t="s">
        <v>396</v>
      </c>
      <c r="B383" s="3">
        <v>56</v>
      </c>
      <c r="C383" s="3">
        <v>40</v>
      </c>
      <c r="D383" s="4">
        <v>46045.338888888888</v>
      </c>
      <c r="E383" s="3">
        <v>99</v>
      </c>
      <c r="F383" s="3" t="s">
        <v>24</v>
      </c>
      <c r="G383" s="3" t="s">
        <v>10</v>
      </c>
      <c r="H383" s="3">
        <v>94</v>
      </c>
      <c r="I383" s="5">
        <f t="shared" si="5"/>
        <v>46045</v>
      </c>
      <c r="J383" s="3">
        <f>IF(COUNTIFS($C$2:C383,C383,$I$2:I383,I383)=1,1,0)</f>
        <v>1</v>
      </c>
    </row>
    <row r="384" spans="1:10" x14ac:dyDescent="0.3">
      <c r="A384" s="3" t="s">
        <v>397</v>
      </c>
      <c r="B384" s="3">
        <v>26</v>
      </c>
      <c r="C384" s="3">
        <v>34</v>
      </c>
      <c r="D384" s="4">
        <v>46041.302083333336</v>
      </c>
      <c r="E384" s="3">
        <v>499</v>
      </c>
      <c r="F384" s="3" t="s">
        <v>24</v>
      </c>
      <c r="G384" s="3" t="s">
        <v>10</v>
      </c>
      <c r="H384" s="3">
        <v>28</v>
      </c>
      <c r="I384" s="5">
        <f t="shared" si="5"/>
        <v>46041</v>
      </c>
      <c r="J384" s="3">
        <f>IF(COUNTIFS($C$2:C384,C384,$I$2:I384,I384)=1,1,0)</f>
        <v>1</v>
      </c>
    </row>
    <row r="385" spans="1:10" x14ac:dyDescent="0.3">
      <c r="A385" s="3" t="s">
        <v>398</v>
      </c>
      <c r="B385" s="3">
        <v>52</v>
      </c>
      <c r="C385" s="3">
        <v>27</v>
      </c>
      <c r="D385" s="4">
        <v>46043.293749999997</v>
      </c>
      <c r="E385" s="3">
        <v>499</v>
      </c>
      <c r="F385" s="3" t="s">
        <v>24</v>
      </c>
      <c r="G385" s="3" t="s">
        <v>10</v>
      </c>
      <c r="H385" s="3">
        <v>42</v>
      </c>
      <c r="I385" s="5">
        <f t="shared" si="5"/>
        <v>46043</v>
      </c>
      <c r="J385" s="3">
        <f>IF(COUNTIFS($C$2:C385,C385,$I$2:I385,I385)=1,1,0)</f>
        <v>1</v>
      </c>
    </row>
    <row r="386" spans="1:10" x14ac:dyDescent="0.3">
      <c r="A386" s="3" t="s">
        <v>399</v>
      </c>
      <c r="B386" s="3">
        <v>349</v>
      </c>
      <c r="C386" s="3">
        <v>9</v>
      </c>
      <c r="D386" s="4">
        <v>46045.629166666666</v>
      </c>
      <c r="E386" s="3">
        <v>499</v>
      </c>
      <c r="F386" s="3" t="s">
        <v>9</v>
      </c>
      <c r="G386" s="3" t="s">
        <v>10</v>
      </c>
      <c r="H386" s="3">
        <v>0</v>
      </c>
      <c r="I386" s="5">
        <f t="shared" si="5"/>
        <v>46045</v>
      </c>
      <c r="J386" s="3">
        <f>IF(COUNTIFS($C$2:C386,C386,$I$2:I386,I386)=1,1,0)</f>
        <v>1</v>
      </c>
    </row>
    <row r="387" spans="1:10" x14ac:dyDescent="0.3">
      <c r="A387" s="3" t="s">
        <v>400</v>
      </c>
      <c r="B387" s="3">
        <v>335</v>
      </c>
      <c r="C387" s="3">
        <v>31</v>
      </c>
      <c r="D387" s="4">
        <v>46040.226388888892</v>
      </c>
      <c r="E387" s="3">
        <v>49</v>
      </c>
      <c r="F387" s="3" t="s">
        <v>24</v>
      </c>
      <c r="G387" s="3" t="s">
        <v>10</v>
      </c>
      <c r="H387" s="3">
        <v>61</v>
      </c>
      <c r="I387" s="5">
        <f t="shared" ref="I387:I450" si="6">INT(D387)</f>
        <v>46040</v>
      </c>
      <c r="J387" s="3">
        <f>IF(COUNTIFS($C$2:C387,C387,$I$2:I387,I387)=1,1,0)</f>
        <v>1</v>
      </c>
    </row>
    <row r="388" spans="1:10" x14ac:dyDescent="0.3">
      <c r="A388" s="3" t="s">
        <v>401</v>
      </c>
      <c r="B388" s="3">
        <v>148</v>
      </c>
      <c r="C388" s="3">
        <v>21</v>
      </c>
      <c r="D388" s="4">
        <v>46043.283333333333</v>
      </c>
      <c r="E388" s="3">
        <v>49</v>
      </c>
      <c r="F388" s="3" t="s">
        <v>24</v>
      </c>
      <c r="G388" s="3" t="s">
        <v>10</v>
      </c>
      <c r="H388" s="3">
        <v>36</v>
      </c>
      <c r="I388" s="5">
        <f t="shared" si="6"/>
        <v>46043</v>
      </c>
      <c r="J388" s="3">
        <f>IF(COUNTIFS($C$2:C388,C388,$I$2:I388,I388)=1,1,0)</f>
        <v>1</v>
      </c>
    </row>
    <row r="389" spans="1:10" x14ac:dyDescent="0.3">
      <c r="A389" s="3" t="s">
        <v>402</v>
      </c>
      <c r="B389" s="3">
        <v>46</v>
      </c>
      <c r="C389" s="3">
        <v>37</v>
      </c>
      <c r="D389" s="4">
        <v>46043.081944444442</v>
      </c>
      <c r="E389" s="3">
        <v>99</v>
      </c>
      <c r="F389" s="3" t="s">
        <v>9</v>
      </c>
      <c r="G389" s="3" t="s">
        <v>10</v>
      </c>
      <c r="H389" s="3">
        <v>29</v>
      </c>
      <c r="I389" s="5">
        <f t="shared" si="6"/>
        <v>46043</v>
      </c>
      <c r="J389" s="3">
        <f>IF(COUNTIFS($C$2:C389,C389,$I$2:I389,I389)=1,1,0)</f>
        <v>1</v>
      </c>
    </row>
    <row r="390" spans="1:10" x14ac:dyDescent="0.3">
      <c r="A390" s="3" t="s">
        <v>403</v>
      </c>
      <c r="B390" s="3">
        <v>20</v>
      </c>
      <c r="C390" s="3">
        <v>12</v>
      </c>
      <c r="D390" s="4">
        <v>46040.990277777775</v>
      </c>
      <c r="E390" s="3">
        <v>799</v>
      </c>
      <c r="F390" s="3" t="s">
        <v>24</v>
      </c>
      <c r="G390" s="3" t="s">
        <v>10</v>
      </c>
      <c r="H390" s="3">
        <v>53</v>
      </c>
      <c r="I390" s="5">
        <f t="shared" si="6"/>
        <v>46040</v>
      </c>
      <c r="J390" s="3">
        <f>IF(COUNTIFS($C$2:C390,C390,$I$2:I390,I390)=1,1,0)</f>
        <v>1</v>
      </c>
    </row>
    <row r="391" spans="1:10" x14ac:dyDescent="0.3">
      <c r="A391" s="3" t="s">
        <v>404</v>
      </c>
      <c r="B391" s="3">
        <v>19</v>
      </c>
      <c r="C391" s="3">
        <v>26</v>
      </c>
      <c r="D391" s="4">
        <v>46051.249305555553</v>
      </c>
      <c r="E391" s="3">
        <v>49</v>
      </c>
      <c r="F391" s="3" t="s">
        <v>12</v>
      </c>
      <c r="G391" s="3" t="s">
        <v>10</v>
      </c>
      <c r="H391" s="3">
        <v>100</v>
      </c>
      <c r="I391" s="5">
        <f t="shared" si="6"/>
        <v>46051</v>
      </c>
      <c r="J391" s="3">
        <f>IF(COUNTIFS($C$2:C391,C391,$I$2:I391,I391)=1,1,0)</f>
        <v>0</v>
      </c>
    </row>
    <row r="392" spans="1:10" x14ac:dyDescent="0.3">
      <c r="A392" s="3" t="s">
        <v>405</v>
      </c>
      <c r="B392" s="3">
        <v>149</v>
      </c>
      <c r="C392" s="3">
        <v>3</v>
      </c>
      <c r="D392" s="4">
        <v>46038.249305555553</v>
      </c>
      <c r="E392" s="3">
        <v>4999</v>
      </c>
      <c r="F392" s="3" t="s">
        <v>9</v>
      </c>
      <c r="G392" s="3" t="s">
        <v>10</v>
      </c>
      <c r="H392" s="3">
        <v>1</v>
      </c>
      <c r="I392" s="5">
        <f t="shared" si="6"/>
        <v>46038</v>
      </c>
      <c r="J392" s="3">
        <f>IF(COUNTIFS($C$2:C392,C392,$I$2:I392,I392)=1,1,0)</f>
        <v>1</v>
      </c>
    </row>
    <row r="393" spans="1:10" x14ac:dyDescent="0.3">
      <c r="A393" s="3" t="s">
        <v>406</v>
      </c>
      <c r="B393" s="3">
        <v>55</v>
      </c>
      <c r="C393" s="3">
        <v>22</v>
      </c>
      <c r="D393" s="4">
        <v>46032.776388888888</v>
      </c>
      <c r="E393" s="3">
        <v>499</v>
      </c>
      <c r="F393" s="3" t="s">
        <v>12</v>
      </c>
      <c r="G393" s="3" t="s">
        <v>10</v>
      </c>
      <c r="H393" s="3">
        <v>36</v>
      </c>
      <c r="I393" s="5">
        <f t="shared" si="6"/>
        <v>46032</v>
      </c>
      <c r="J393" s="3">
        <f>IF(COUNTIFS($C$2:C393,C393,$I$2:I393,I393)=1,1,0)</f>
        <v>1</v>
      </c>
    </row>
    <row r="394" spans="1:10" x14ac:dyDescent="0.3">
      <c r="A394" s="3" t="s">
        <v>407</v>
      </c>
      <c r="B394" s="3">
        <v>269</v>
      </c>
      <c r="C394" s="3">
        <v>32</v>
      </c>
      <c r="D394" s="4">
        <v>46037.856944444444</v>
      </c>
      <c r="E394" s="3">
        <v>49</v>
      </c>
      <c r="F394" s="3" t="s">
        <v>24</v>
      </c>
      <c r="G394" s="3" t="s">
        <v>10</v>
      </c>
      <c r="H394" s="3">
        <v>17</v>
      </c>
      <c r="I394" s="5">
        <f t="shared" si="6"/>
        <v>46037</v>
      </c>
      <c r="J394" s="3">
        <f>IF(COUNTIFS($C$2:C394,C394,$I$2:I394,I394)=1,1,0)</f>
        <v>0</v>
      </c>
    </row>
    <row r="395" spans="1:10" x14ac:dyDescent="0.3">
      <c r="A395" s="3" t="s">
        <v>408</v>
      </c>
      <c r="B395" s="3">
        <v>140</v>
      </c>
      <c r="C395" s="3">
        <v>13</v>
      </c>
      <c r="D395" s="4">
        <v>46050.686805555553</v>
      </c>
      <c r="E395" s="3">
        <v>2999</v>
      </c>
      <c r="F395" s="3" t="s">
        <v>12</v>
      </c>
      <c r="G395" s="3" t="s">
        <v>10</v>
      </c>
      <c r="H395" s="3">
        <v>14</v>
      </c>
      <c r="I395" s="5">
        <f t="shared" si="6"/>
        <v>46050</v>
      </c>
      <c r="J395" s="3">
        <f>IF(COUNTIFS($C$2:C395,C395,$I$2:I395,I395)=1,1,0)</f>
        <v>1</v>
      </c>
    </row>
    <row r="396" spans="1:10" x14ac:dyDescent="0.3">
      <c r="A396" s="3" t="s">
        <v>409</v>
      </c>
      <c r="B396" s="3">
        <v>235</v>
      </c>
      <c r="C396" s="3">
        <v>17</v>
      </c>
      <c r="D396" s="4">
        <v>46033.240277777775</v>
      </c>
      <c r="E396" s="3">
        <v>2999</v>
      </c>
      <c r="F396" s="3" t="s">
        <v>12</v>
      </c>
      <c r="G396" s="3" t="s">
        <v>10</v>
      </c>
      <c r="H396" s="3">
        <v>91</v>
      </c>
      <c r="I396" s="5">
        <f t="shared" si="6"/>
        <v>46033</v>
      </c>
      <c r="J396" s="3">
        <f>IF(COUNTIFS($C$2:C396,C396,$I$2:I396,I396)=1,1,0)</f>
        <v>0</v>
      </c>
    </row>
    <row r="397" spans="1:10" x14ac:dyDescent="0.3">
      <c r="A397" s="3" t="s">
        <v>410</v>
      </c>
      <c r="B397" s="3">
        <v>173</v>
      </c>
      <c r="C397" s="3">
        <v>19</v>
      </c>
      <c r="D397" s="4">
        <v>46028.032638888886</v>
      </c>
      <c r="E397" s="3">
        <v>499</v>
      </c>
      <c r="F397" s="3" t="s">
        <v>12</v>
      </c>
      <c r="G397" s="3" t="s">
        <v>25</v>
      </c>
      <c r="H397" s="3">
        <v>72</v>
      </c>
      <c r="I397" s="5">
        <f t="shared" si="6"/>
        <v>46028</v>
      </c>
      <c r="J397" s="3">
        <f>IF(COUNTIFS($C$2:C397,C397,$I$2:I397,I397)=1,1,0)</f>
        <v>1</v>
      </c>
    </row>
    <row r="398" spans="1:10" x14ac:dyDescent="0.3">
      <c r="A398" s="3" t="s">
        <v>411</v>
      </c>
      <c r="B398" s="3">
        <v>313</v>
      </c>
      <c r="C398" s="3">
        <v>26</v>
      </c>
      <c r="D398" s="4">
        <v>46044.257638888892</v>
      </c>
      <c r="E398" s="3">
        <v>499</v>
      </c>
      <c r="F398" s="3" t="s">
        <v>12</v>
      </c>
      <c r="G398" s="3" t="s">
        <v>10</v>
      </c>
      <c r="H398" s="3">
        <v>54</v>
      </c>
      <c r="I398" s="5">
        <f t="shared" si="6"/>
        <v>46044</v>
      </c>
      <c r="J398" s="3">
        <f>IF(COUNTIFS($C$2:C398,C398,$I$2:I398,I398)=1,1,0)</f>
        <v>1</v>
      </c>
    </row>
    <row r="399" spans="1:10" x14ac:dyDescent="0.3">
      <c r="A399" s="3" t="s">
        <v>412</v>
      </c>
      <c r="B399" s="3">
        <v>206</v>
      </c>
      <c r="C399" s="3">
        <v>7</v>
      </c>
      <c r="D399" s="4">
        <v>46039.420138888891</v>
      </c>
      <c r="E399" s="3">
        <v>149</v>
      </c>
      <c r="F399" s="3" t="s">
        <v>9</v>
      </c>
      <c r="G399" s="3" t="s">
        <v>10</v>
      </c>
      <c r="H399" s="3">
        <v>23</v>
      </c>
      <c r="I399" s="5">
        <f t="shared" si="6"/>
        <v>46039</v>
      </c>
      <c r="J399" s="3">
        <f>IF(COUNTIFS($C$2:C399,C399,$I$2:I399,I399)=1,1,0)</f>
        <v>1</v>
      </c>
    </row>
    <row r="400" spans="1:10" x14ac:dyDescent="0.3">
      <c r="A400" s="3" t="s">
        <v>413</v>
      </c>
      <c r="B400" s="3">
        <v>128</v>
      </c>
      <c r="C400" s="3">
        <v>1</v>
      </c>
      <c r="D400" s="4">
        <v>46027.638888888891</v>
      </c>
      <c r="E400" s="3">
        <v>1499</v>
      </c>
      <c r="F400" s="3" t="s">
        <v>15</v>
      </c>
      <c r="G400" s="3" t="s">
        <v>10</v>
      </c>
      <c r="H400" s="3">
        <v>33</v>
      </c>
      <c r="I400" s="5">
        <f t="shared" si="6"/>
        <v>46027</v>
      </c>
      <c r="J400" s="3">
        <f>IF(COUNTIFS($C$2:C400,C400,$I$2:I400,I400)=1,1,0)</f>
        <v>1</v>
      </c>
    </row>
    <row r="401" spans="1:10" x14ac:dyDescent="0.3">
      <c r="A401" s="3" t="s">
        <v>414</v>
      </c>
      <c r="B401" s="3">
        <v>137</v>
      </c>
      <c r="C401" s="3">
        <v>22</v>
      </c>
      <c r="D401" s="4">
        <v>46035.311111111114</v>
      </c>
      <c r="E401" s="3">
        <v>799</v>
      </c>
      <c r="F401" s="3" t="s">
        <v>12</v>
      </c>
      <c r="G401" s="3" t="s">
        <v>25</v>
      </c>
      <c r="H401" s="3">
        <v>38</v>
      </c>
      <c r="I401" s="5">
        <f t="shared" si="6"/>
        <v>46035</v>
      </c>
      <c r="J401" s="3">
        <f>IF(COUNTIFS($C$2:C401,C401,$I$2:I401,I401)=1,1,0)</f>
        <v>1</v>
      </c>
    </row>
    <row r="402" spans="1:10" x14ac:dyDescent="0.3">
      <c r="A402" s="3" t="s">
        <v>415</v>
      </c>
      <c r="B402" s="3">
        <v>6</v>
      </c>
      <c r="C402" s="3">
        <v>17</v>
      </c>
      <c r="D402" s="4">
        <v>46041.98333333333</v>
      </c>
      <c r="E402" s="3">
        <v>49</v>
      </c>
      <c r="F402" s="3" t="s">
        <v>12</v>
      </c>
      <c r="G402" s="3" t="s">
        <v>10</v>
      </c>
      <c r="H402" s="3">
        <v>83</v>
      </c>
      <c r="I402" s="5">
        <f t="shared" si="6"/>
        <v>46041</v>
      </c>
      <c r="J402" s="3">
        <f>IF(COUNTIFS($C$2:C402,C402,$I$2:I402,I402)=1,1,0)</f>
        <v>1</v>
      </c>
    </row>
    <row r="403" spans="1:10" x14ac:dyDescent="0.3">
      <c r="A403" s="3" t="s">
        <v>416</v>
      </c>
      <c r="B403" s="3">
        <v>32</v>
      </c>
      <c r="C403" s="3">
        <v>8</v>
      </c>
      <c r="D403" s="4">
        <v>46034.927083333336</v>
      </c>
      <c r="E403" s="3">
        <v>299</v>
      </c>
      <c r="F403" s="3" t="s">
        <v>24</v>
      </c>
      <c r="G403" s="3" t="s">
        <v>10</v>
      </c>
      <c r="H403" s="3">
        <v>59</v>
      </c>
      <c r="I403" s="5">
        <f t="shared" si="6"/>
        <v>46034</v>
      </c>
      <c r="J403" s="3">
        <f>IF(COUNTIFS($C$2:C403,C403,$I$2:I403,I403)=1,1,0)</f>
        <v>1</v>
      </c>
    </row>
    <row r="404" spans="1:10" x14ac:dyDescent="0.3">
      <c r="A404" s="3" t="s">
        <v>417</v>
      </c>
      <c r="B404" s="3">
        <v>258</v>
      </c>
      <c r="C404" s="3">
        <v>20</v>
      </c>
      <c r="D404" s="4">
        <v>46032.225694444445</v>
      </c>
      <c r="E404" s="3">
        <v>149</v>
      </c>
      <c r="F404" s="3" t="s">
        <v>12</v>
      </c>
      <c r="G404" s="3" t="s">
        <v>10</v>
      </c>
      <c r="H404" s="3">
        <v>88</v>
      </c>
      <c r="I404" s="5">
        <f t="shared" si="6"/>
        <v>46032</v>
      </c>
      <c r="J404" s="3">
        <f>IF(COUNTIFS($C$2:C404,C404,$I$2:I404,I404)=1,1,0)</f>
        <v>1</v>
      </c>
    </row>
    <row r="405" spans="1:10" x14ac:dyDescent="0.3">
      <c r="A405" s="3" t="s">
        <v>418</v>
      </c>
      <c r="B405" s="3">
        <v>152</v>
      </c>
      <c r="C405" s="3">
        <v>24</v>
      </c>
      <c r="D405" s="4">
        <v>46026.873611111114</v>
      </c>
      <c r="E405" s="3">
        <v>149</v>
      </c>
      <c r="F405" s="3" t="s">
        <v>12</v>
      </c>
      <c r="G405" s="3" t="s">
        <v>38</v>
      </c>
      <c r="H405" s="3">
        <v>78</v>
      </c>
      <c r="I405" s="5">
        <f t="shared" si="6"/>
        <v>46026</v>
      </c>
      <c r="J405" s="3">
        <f>IF(COUNTIFS($C$2:C405,C405,$I$2:I405,I405)=1,1,0)</f>
        <v>1</v>
      </c>
    </row>
    <row r="406" spans="1:10" x14ac:dyDescent="0.3">
      <c r="A406" s="3" t="s">
        <v>419</v>
      </c>
      <c r="B406" s="3">
        <v>245</v>
      </c>
      <c r="C406" s="3">
        <v>10</v>
      </c>
      <c r="D406" s="4">
        <v>46030.297222222223</v>
      </c>
      <c r="E406" s="3">
        <v>799</v>
      </c>
      <c r="F406" s="3" t="s">
        <v>9</v>
      </c>
      <c r="G406" s="3" t="s">
        <v>10</v>
      </c>
      <c r="H406" s="3">
        <v>58</v>
      </c>
      <c r="I406" s="5">
        <f t="shared" si="6"/>
        <v>46030</v>
      </c>
      <c r="J406" s="3">
        <f>IF(COUNTIFS($C$2:C406,C406,$I$2:I406,I406)=1,1,0)</f>
        <v>1</v>
      </c>
    </row>
    <row r="407" spans="1:10" x14ac:dyDescent="0.3">
      <c r="A407" s="3" t="s">
        <v>420</v>
      </c>
      <c r="B407" s="3">
        <v>213</v>
      </c>
      <c r="C407" s="3">
        <v>36</v>
      </c>
      <c r="D407" s="4">
        <v>46046.807638888888</v>
      </c>
      <c r="E407" s="3">
        <v>49</v>
      </c>
      <c r="F407" s="3" t="s">
        <v>9</v>
      </c>
      <c r="G407" s="3" t="s">
        <v>10</v>
      </c>
      <c r="H407" s="3">
        <v>60</v>
      </c>
      <c r="I407" s="5">
        <f t="shared" si="6"/>
        <v>46046</v>
      </c>
      <c r="J407" s="3">
        <f>IF(COUNTIFS($C$2:C407,C407,$I$2:I407,I407)=1,1,0)</f>
        <v>0</v>
      </c>
    </row>
    <row r="408" spans="1:10" x14ac:dyDescent="0.3">
      <c r="A408" s="3" t="s">
        <v>421</v>
      </c>
      <c r="B408" s="3">
        <v>341</v>
      </c>
      <c r="C408" s="3">
        <v>14</v>
      </c>
      <c r="D408" s="4">
        <v>46047.743750000001</v>
      </c>
      <c r="E408" s="3">
        <v>99</v>
      </c>
      <c r="F408" s="3" t="s">
        <v>15</v>
      </c>
      <c r="G408" s="3" t="s">
        <v>10</v>
      </c>
      <c r="H408" s="3">
        <v>97</v>
      </c>
      <c r="I408" s="5">
        <f t="shared" si="6"/>
        <v>46047</v>
      </c>
      <c r="J408" s="3">
        <f>IF(COUNTIFS($C$2:C408,C408,$I$2:I408,I408)=1,1,0)</f>
        <v>0</v>
      </c>
    </row>
    <row r="409" spans="1:10" x14ac:dyDescent="0.3">
      <c r="A409" s="3" t="s">
        <v>422</v>
      </c>
      <c r="B409" s="3">
        <v>306</v>
      </c>
      <c r="C409" s="3">
        <v>6</v>
      </c>
      <c r="D409" s="4">
        <v>46030.908333333333</v>
      </c>
      <c r="E409" s="3">
        <v>149</v>
      </c>
      <c r="F409" s="3" t="s">
        <v>15</v>
      </c>
      <c r="G409" s="3" t="s">
        <v>10</v>
      </c>
      <c r="H409" s="3">
        <v>67</v>
      </c>
      <c r="I409" s="5">
        <f t="shared" si="6"/>
        <v>46030</v>
      </c>
      <c r="J409" s="3">
        <f>IF(COUNTIFS($C$2:C409,C409,$I$2:I409,I409)=1,1,0)</f>
        <v>1</v>
      </c>
    </row>
    <row r="410" spans="1:10" x14ac:dyDescent="0.3">
      <c r="A410" s="3" t="s">
        <v>423</v>
      </c>
      <c r="B410" s="3">
        <v>186</v>
      </c>
      <c r="C410" s="3">
        <v>5</v>
      </c>
      <c r="D410" s="4">
        <v>46037.697916666664</v>
      </c>
      <c r="E410" s="3">
        <v>499</v>
      </c>
      <c r="F410" s="3" t="s">
        <v>12</v>
      </c>
      <c r="G410" s="3" t="s">
        <v>10</v>
      </c>
      <c r="H410" s="3">
        <v>72</v>
      </c>
      <c r="I410" s="5">
        <f t="shared" si="6"/>
        <v>46037</v>
      </c>
      <c r="J410" s="3">
        <f>IF(COUNTIFS($C$2:C410,C410,$I$2:I410,I410)=1,1,0)</f>
        <v>0</v>
      </c>
    </row>
    <row r="411" spans="1:10" x14ac:dyDescent="0.3">
      <c r="A411" s="3" t="s">
        <v>424</v>
      </c>
      <c r="B411" s="3">
        <v>281</v>
      </c>
      <c r="C411" s="3">
        <v>33</v>
      </c>
      <c r="D411" s="4">
        <v>46026.078472222223</v>
      </c>
      <c r="E411" s="3">
        <v>4999</v>
      </c>
      <c r="F411" s="3" t="s">
        <v>12</v>
      </c>
      <c r="G411" s="3" t="s">
        <v>10</v>
      </c>
      <c r="H411" s="3">
        <v>25</v>
      </c>
      <c r="I411" s="5">
        <f t="shared" si="6"/>
        <v>46026</v>
      </c>
      <c r="J411" s="3">
        <f>IF(COUNTIFS($C$2:C411,C411,$I$2:I411,I411)=1,1,0)</f>
        <v>1</v>
      </c>
    </row>
    <row r="412" spans="1:10" x14ac:dyDescent="0.3">
      <c r="A412" s="3" t="s">
        <v>425</v>
      </c>
      <c r="B412" s="3">
        <v>85</v>
      </c>
      <c r="C412" s="3">
        <v>21</v>
      </c>
      <c r="D412" s="4">
        <v>46041.714583333334</v>
      </c>
      <c r="E412" s="3">
        <v>99</v>
      </c>
      <c r="F412" s="3" t="s">
        <v>12</v>
      </c>
      <c r="G412" s="3" t="s">
        <v>10</v>
      </c>
      <c r="H412" s="3">
        <v>66</v>
      </c>
      <c r="I412" s="5">
        <f t="shared" si="6"/>
        <v>46041</v>
      </c>
      <c r="J412" s="3">
        <f>IF(COUNTIFS($C$2:C412,C412,$I$2:I412,I412)=1,1,0)</f>
        <v>1</v>
      </c>
    </row>
    <row r="413" spans="1:10" x14ac:dyDescent="0.3">
      <c r="A413" s="3" t="s">
        <v>426</v>
      </c>
      <c r="B413" s="3">
        <v>106</v>
      </c>
      <c r="C413" s="3">
        <v>38</v>
      </c>
      <c r="D413" s="4">
        <v>46037.154861111114</v>
      </c>
      <c r="E413" s="3">
        <v>499</v>
      </c>
      <c r="F413" s="3" t="s">
        <v>12</v>
      </c>
      <c r="G413" s="3" t="s">
        <v>10</v>
      </c>
      <c r="H413" s="3">
        <v>62</v>
      </c>
      <c r="I413" s="5">
        <f t="shared" si="6"/>
        <v>46037</v>
      </c>
      <c r="J413" s="3">
        <f>IF(COUNTIFS($C$2:C413,C413,$I$2:I413,I413)=1,1,0)</f>
        <v>1</v>
      </c>
    </row>
    <row r="414" spans="1:10" x14ac:dyDescent="0.3">
      <c r="A414" s="3" t="s">
        <v>427</v>
      </c>
      <c r="B414" s="3">
        <v>29</v>
      </c>
      <c r="C414" s="3">
        <v>30</v>
      </c>
      <c r="D414" s="4">
        <v>46025.686111111114</v>
      </c>
      <c r="E414" s="3">
        <v>149</v>
      </c>
      <c r="F414" s="3" t="s">
        <v>15</v>
      </c>
      <c r="G414" s="3" t="s">
        <v>10</v>
      </c>
      <c r="H414" s="3">
        <v>16</v>
      </c>
      <c r="I414" s="5">
        <f t="shared" si="6"/>
        <v>46025</v>
      </c>
      <c r="J414" s="3">
        <f>IF(COUNTIFS($C$2:C414,C414,$I$2:I414,I414)=1,1,0)</f>
        <v>1</v>
      </c>
    </row>
    <row r="415" spans="1:10" x14ac:dyDescent="0.3">
      <c r="A415" s="3" t="s">
        <v>428</v>
      </c>
      <c r="B415" s="3">
        <v>289</v>
      </c>
      <c r="C415" s="3">
        <v>4</v>
      </c>
      <c r="D415" s="4">
        <v>46039.561805555553</v>
      </c>
      <c r="E415" s="3">
        <v>1499</v>
      </c>
      <c r="F415" s="3" t="s">
        <v>24</v>
      </c>
      <c r="G415" s="3" t="s">
        <v>10</v>
      </c>
      <c r="H415" s="3">
        <v>71</v>
      </c>
      <c r="I415" s="5">
        <f t="shared" si="6"/>
        <v>46039</v>
      </c>
      <c r="J415" s="3">
        <f>IF(COUNTIFS($C$2:C415,C415,$I$2:I415,I415)=1,1,0)</f>
        <v>1</v>
      </c>
    </row>
    <row r="416" spans="1:10" x14ac:dyDescent="0.3">
      <c r="A416" s="3" t="s">
        <v>429</v>
      </c>
      <c r="B416" s="3">
        <v>158</v>
      </c>
      <c r="C416" s="3">
        <v>2</v>
      </c>
      <c r="D416" s="4">
        <v>46037.910416666666</v>
      </c>
      <c r="E416" s="3">
        <v>1499</v>
      </c>
      <c r="F416" s="3" t="s">
        <v>24</v>
      </c>
      <c r="G416" s="3" t="s">
        <v>10</v>
      </c>
      <c r="H416" s="3">
        <v>50</v>
      </c>
      <c r="I416" s="5">
        <f t="shared" si="6"/>
        <v>46037</v>
      </c>
      <c r="J416" s="3">
        <f>IF(COUNTIFS($C$2:C416,C416,$I$2:I416,I416)=1,1,0)</f>
        <v>1</v>
      </c>
    </row>
    <row r="417" spans="1:10" x14ac:dyDescent="0.3">
      <c r="A417" s="3" t="s">
        <v>430</v>
      </c>
      <c r="B417" s="3">
        <v>112</v>
      </c>
      <c r="C417" s="3">
        <v>38</v>
      </c>
      <c r="D417" s="4">
        <v>46031.032638888886</v>
      </c>
      <c r="E417" s="3">
        <v>49</v>
      </c>
      <c r="F417" s="3" t="s">
        <v>12</v>
      </c>
      <c r="G417" s="3" t="s">
        <v>10</v>
      </c>
      <c r="H417" s="3">
        <v>9</v>
      </c>
      <c r="I417" s="5">
        <f t="shared" si="6"/>
        <v>46031</v>
      </c>
      <c r="J417" s="3">
        <f>IF(COUNTIFS($C$2:C417,C417,$I$2:I417,I417)=1,1,0)</f>
        <v>1</v>
      </c>
    </row>
    <row r="418" spans="1:10" x14ac:dyDescent="0.3">
      <c r="A418" s="3" t="s">
        <v>431</v>
      </c>
      <c r="B418" s="3">
        <v>33</v>
      </c>
      <c r="C418" s="3">
        <v>35</v>
      </c>
      <c r="D418" s="4">
        <v>46024.556944444441</v>
      </c>
      <c r="E418" s="3">
        <v>299</v>
      </c>
      <c r="F418" s="3" t="s">
        <v>24</v>
      </c>
      <c r="G418" s="3" t="s">
        <v>25</v>
      </c>
      <c r="H418" s="3">
        <v>7</v>
      </c>
      <c r="I418" s="5">
        <f t="shared" si="6"/>
        <v>46024</v>
      </c>
      <c r="J418" s="3">
        <f>IF(COUNTIFS($C$2:C418,C418,$I$2:I418,I418)=1,1,0)</f>
        <v>1</v>
      </c>
    </row>
    <row r="419" spans="1:10" x14ac:dyDescent="0.3">
      <c r="A419" s="3" t="s">
        <v>432</v>
      </c>
      <c r="B419" s="3">
        <v>242</v>
      </c>
      <c r="C419" s="3">
        <v>3</v>
      </c>
      <c r="D419" s="4">
        <v>46052.124305555553</v>
      </c>
      <c r="E419" s="3">
        <v>49</v>
      </c>
      <c r="F419" s="3" t="s">
        <v>12</v>
      </c>
      <c r="G419" s="3" t="s">
        <v>10</v>
      </c>
      <c r="H419" s="3">
        <v>36</v>
      </c>
      <c r="I419" s="5">
        <f t="shared" si="6"/>
        <v>46052</v>
      </c>
      <c r="J419" s="3">
        <f>IF(COUNTIFS($C$2:C419,C419,$I$2:I419,I419)=1,1,0)</f>
        <v>1</v>
      </c>
    </row>
    <row r="420" spans="1:10" x14ac:dyDescent="0.3">
      <c r="A420" s="3" t="s">
        <v>433</v>
      </c>
      <c r="B420" s="3">
        <v>70</v>
      </c>
      <c r="C420" s="3">
        <v>27</v>
      </c>
      <c r="D420" s="4">
        <v>46036.242361111108</v>
      </c>
      <c r="E420" s="3">
        <v>149</v>
      </c>
      <c r="F420" s="3" t="s">
        <v>12</v>
      </c>
      <c r="G420" s="3" t="s">
        <v>10</v>
      </c>
      <c r="H420" s="3">
        <v>47</v>
      </c>
      <c r="I420" s="5">
        <f t="shared" si="6"/>
        <v>46036</v>
      </c>
      <c r="J420" s="3">
        <f>IF(COUNTIFS($C$2:C420,C420,$I$2:I420,I420)=1,1,0)</f>
        <v>1</v>
      </c>
    </row>
    <row r="421" spans="1:10" x14ac:dyDescent="0.3">
      <c r="A421" s="3" t="s">
        <v>434</v>
      </c>
      <c r="B421" s="3">
        <v>194</v>
      </c>
      <c r="C421" s="3">
        <v>25</v>
      </c>
      <c r="D421" s="4">
        <v>46051.519444444442</v>
      </c>
      <c r="E421" s="3">
        <v>49</v>
      </c>
      <c r="F421" s="3" t="s">
        <v>9</v>
      </c>
      <c r="G421" s="3" t="s">
        <v>10</v>
      </c>
      <c r="H421" s="3">
        <v>10</v>
      </c>
      <c r="I421" s="5">
        <f t="shared" si="6"/>
        <v>46051</v>
      </c>
      <c r="J421" s="3">
        <f>IF(COUNTIFS($C$2:C421,C421,$I$2:I421,I421)=1,1,0)</f>
        <v>1</v>
      </c>
    </row>
    <row r="422" spans="1:10" x14ac:dyDescent="0.3">
      <c r="A422" s="3" t="s">
        <v>435</v>
      </c>
      <c r="B422" s="3">
        <v>277</v>
      </c>
      <c r="C422" s="3">
        <v>9</v>
      </c>
      <c r="D422" s="4">
        <v>46044.913194444445</v>
      </c>
      <c r="E422" s="3">
        <v>799</v>
      </c>
      <c r="F422" s="3" t="s">
        <v>12</v>
      </c>
      <c r="G422" s="3" t="s">
        <v>10</v>
      </c>
      <c r="H422" s="3">
        <v>83</v>
      </c>
      <c r="I422" s="5">
        <f t="shared" si="6"/>
        <v>46044</v>
      </c>
      <c r="J422" s="3">
        <f>IF(COUNTIFS($C$2:C422,C422,$I$2:I422,I422)=1,1,0)</f>
        <v>0</v>
      </c>
    </row>
    <row r="423" spans="1:10" x14ac:dyDescent="0.3">
      <c r="A423" s="3" t="s">
        <v>436</v>
      </c>
      <c r="B423" s="3">
        <v>92</v>
      </c>
      <c r="C423" s="3">
        <v>35</v>
      </c>
      <c r="D423" s="4">
        <v>46050.463194444441</v>
      </c>
      <c r="E423" s="3">
        <v>49</v>
      </c>
      <c r="F423" s="3" t="s">
        <v>12</v>
      </c>
      <c r="G423" s="3" t="s">
        <v>10</v>
      </c>
      <c r="H423" s="3">
        <v>50</v>
      </c>
      <c r="I423" s="5">
        <f t="shared" si="6"/>
        <v>46050</v>
      </c>
      <c r="J423" s="3">
        <f>IF(COUNTIFS($C$2:C423,C423,$I$2:I423,I423)=1,1,0)</f>
        <v>1</v>
      </c>
    </row>
    <row r="424" spans="1:10" x14ac:dyDescent="0.3">
      <c r="A424" s="3" t="s">
        <v>437</v>
      </c>
      <c r="B424" s="3">
        <v>115</v>
      </c>
      <c r="C424" s="3">
        <v>1</v>
      </c>
      <c r="D424" s="4">
        <v>46039.198611111111</v>
      </c>
      <c r="E424" s="3">
        <v>149</v>
      </c>
      <c r="F424" s="3" t="s">
        <v>9</v>
      </c>
      <c r="G424" s="3" t="s">
        <v>10</v>
      </c>
      <c r="H424" s="3">
        <v>96</v>
      </c>
      <c r="I424" s="5">
        <f t="shared" si="6"/>
        <v>46039</v>
      </c>
      <c r="J424" s="3">
        <f>IF(COUNTIFS($C$2:C424,C424,$I$2:I424,I424)=1,1,0)</f>
        <v>1</v>
      </c>
    </row>
    <row r="425" spans="1:10" x14ac:dyDescent="0.3">
      <c r="A425" s="3" t="s">
        <v>438</v>
      </c>
      <c r="B425" s="3">
        <v>345</v>
      </c>
      <c r="C425" s="3">
        <v>35</v>
      </c>
      <c r="D425" s="4">
        <v>46023.395138888889</v>
      </c>
      <c r="E425" s="3">
        <v>499</v>
      </c>
      <c r="F425" s="3" t="s">
        <v>24</v>
      </c>
      <c r="G425" s="3" t="s">
        <v>10</v>
      </c>
      <c r="H425" s="3">
        <v>54</v>
      </c>
      <c r="I425" s="5">
        <f t="shared" si="6"/>
        <v>46023</v>
      </c>
      <c r="J425" s="3">
        <f>IF(COUNTIFS($C$2:C425,C425,$I$2:I425,I425)=1,1,0)</f>
        <v>1</v>
      </c>
    </row>
    <row r="426" spans="1:10" x14ac:dyDescent="0.3">
      <c r="A426" s="3" t="s">
        <v>439</v>
      </c>
      <c r="B426" s="3">
        <v>118</v>
      </c>
      <c r="C426" s="3">
        <v>16</v>
      </c>
      <c r="D426" s="4">
        <v>46040.536111111112</v>
      </c>
      <c r="E426" s="3">
        <v>49</v>
      </c>
      <c r="F426" s="3" t="s">
        <v>12</v>
      </c>
      <c r="G426" s="3" t="s">
        <v>10</v>
      </c>
      <c r="H426" s="3">
        <v>58</v>
      </c>
      <c r="I426" s="5">
        <f t="shared" si="6"/>
        <v>46040</v>
      </c>
      <c r="J426" s="3">
        <f>IF(COUNTIFS($C$2:C426,C426,$I$2:I426,I426)=1,1,0)</f>
        <v>1</v>
      </c>
    </row>
    <row r="427" spans="1:10" x14ac:dyDescent="0.3">
      <c r="A427" s="3" t="s">
        <v>440</v>
      </c>
      <c r="B427" s="3">
        <v>97</v>
      </c>
      <c r="C427" s="3">
        <v>8</v>
      </c>
      <c r="D427" s="4">
        <v>46034.178472222222</v>
      </c>
      <c r="E427" s="3">
        <v>99</v>
      </c>
      <c r="F427" s="3" t="s">
        <v>15</v>
      </c>
      <c r="G427" s="3" t="s">
        <v>10</v>
      </c>
      <c r="H427" s="3">
        <v>4</v>
      </c>
      <c r="I427" s="5">
        <f t="shared" si="6"/>
        <v>46034</v>
      </c>
      <c r="J427" s="3">
        <f>IF(COUNTIFS($C$2:C427,C427,$I$2:I427,I427)=1,1,0)</f>
        <v>0</v>
      </c>
    </row>
    <row r="428" spans="1:10" x14ac:dyDescent="0.3">
      <c r="A428" s="3" t="s">
        <v>441</v>
      </c>
      <c r="B428" s="3">
        <v>315</v>
      </c>
      <c r="C428" s="3">
        <v>2</v>
      </c>
      <c r="D428" s="4">
        <v>46048.893055555556</v>
      </c>
      <c r="E428" s="3">
        <v>299</v>
      </c>
      <c r="F428" s="3" t="s">
        <v>9</v>
      </c>
      <c r="G428" s="3" t="s">
        <v>10</v>
      </c>
      <c r="H428" s="3">
        <v>30</v>
      </c>
      <c r="I428" s="5">
        <f t="shared" si="6"/>
        <v>46048</v>
      </c>
      <c r="J428" s="3">
        <f>IF(COUNTIFS($C$2:C428,C428,$I$2:I428,I428)=1,1,0)</f>
        <v>1</v>
      </c>
    </row>
    <row r="429" spans="1:10" x14ac:dyDescent="0.3">
      <c r="A429" s="3" t="s">
        <v>442</v>
      </c>
      <c r="B429" s="3">
        <v>305</v>
      </c>
      <c r="C429" s="3">
        <v>3</v>
      </c>
      <c r="D429" s="4">
        <v>46029.087500000001</v>
      </c>
      <c r="E429" s="3">
        <v>299</v>
      </c>
      <c r="F429" s="3" t="s">
        <v>12</v>
      </c>
      <c r="G429" s="3" t="s">
        <v>10</v>
      </c>
      <c r="H429" s="3">
        <v>57</v>
      </c>
      <c r="I429" s="5">
        <f t="shared" si="6"/>
        <v>46029</v>
      </c>
      <c r="J429" s="3">
        <f>IF(COUNTIFS($C$2:C429,C429,$I$2:I429,I429)=1,1,0)</f>
        <v>0</v>
      </c>
    </row>
    <row r="430" spans="1:10" x14ac:dyDescent="0.3">
      <c r="A430" s="3" t="s">
        <v>443</v>
      </c>
      <c r="B430" s="3">
        <v>25</v>
      </c>
      <c r="C430" s="3">
        <v>16</v>
      </c>
      <c r="D430" s="4">
        <v>46042.90625</v>
      </c>
      <c r="E430" s="3">
        <v>299</v>
      </c>
      <c r="F430" s="3" t="s">
        <v>12</v>
      </c>
      <c r="G430" s="3" t="s">
        <v>10</v>
      </c>
      <c r="H430" s="3">
        <v>94</v>
      </c>
      <c r="I430" s="5">
        <f t="shared" si="6"/>
        <v>46042</v>
      </c>
      <c r="J430" s="3">
        <f>IF(COUNTIFS($C$2:C430,C430,$I$2:I430,I430)=1,1,0)</f>
        <v>1</v>
      </c>
    </row>
    <row r="431" spans="1:10" x14ac:dyDescent="0.3">
      <c r="A431" s="3" t="s">
        <v>444</v>
      </c>
      <c r="B431" s="3">
        <v>120</v>
      </c>
      <c r="C431" s="3">
        <v>35</v>
      </c>
      <c r="D431" s="4">
        <v>46024.519444444442</v>
      </c>
      <c r="E431" s="3">
        <v>49</v>
      </c>
      <c r="F431" s="3" t="s">
        <v>12</v>
      </c>
      <c r="G431" s="3" t="s">
        <v>10</v>
      </c>
      <c r="H431" s="3">
        <v>27</v>
      </c>
      <c r="I431" s="5">
        <f t="shared" si="6"/>
        <v>46024</v>
      </c>
      <c r="J431" s="3">
        <f>IF(COUNTIFS($C$2:C431,C431,$I$2:I431,I431)=1,1,0)</f>
        <v>0</v>
      </c>
    </row>
    <row r="432" spans="1:10" x14ac:dyDescent="0.3">
      <c r="A432" s="3" t="s">
        <v>445</v>
      </c>
      <c r="B432" s="3">
        <v>258</v>
      </c>
      <c r="C432" s="3">
        <v>19</v>
      </c>
      <c r="D432" s="4">
        <v>46047.047222222223</v>
      </c>
      <c r="E432" s="3">
        <v>49</v>
      </c>
      <c r="F432" s="3" t="s">
        <v>9</v>
      </c>
      <c r="G432" s="3" t="s">
        <v>10</v>
      </c>
      <c r="H432" s="3">
        <v>29</v>
      </c>
      <c r="I432" s="5">
        <f t="shared" si="6"/>
        <v>46047</v>
      </c>
      <c r="J432" s="3">
        <f>IF(COUNTIFS($C$2:C432,C432,$I$2:I432,I432)=1,1,0)</f>
        <v>1</v>
      </c>
    </row>
    <row r="433" spans="1:10" x14ac:dyDescent="0.3">
      <c r="A433" s="3" t="s">
        <v>446</v>
      </c>
      <c r="B433" s="3">
        <v>164</v>
      </c>
      <c r="C433" s="3">
        <v>37</v>
      </c>
      <c r="D433" s="4">
        <v>46049.98333333333</v>
      </c>
      <c r="E433" s="3">
        <v>799</v>
      </c>
      <c r="F433" s="3" t="s">
        <v>12</v>
      </c>
      <c r="G433" s="3" t="s">
        <v>10</v>
      </c>
      <c r="H433" s="3">
        <v>76</v>
      </c>
      <c r="I433" s="5">
        <f t="shared" si="6"/>
        <v>46049</v>
      </c>
      <c r="J433" s="3">
        <f>IF(COUNTIFS($C$2:C433,C433,$I$2:I433,I433)=1,1,0)</f>
        <v>1</v>
      </c>
    </row>
    <row r="434" spans="1:10" x14ac:dyDescent="0.3">
      <c r="A434" s="3" t="s">
        <v>447</v>
      </c>
      <c r="B434" s="3">
        <v>165</v>
      </c>
      <c r="C434" s="3">
        <v>16</v>
      </c>
      <c r="D434" s="4">
        <v>46047.911111111112</v>
      </c>
      <c r="E434" s="3">
        <v>49</v>
      </c>
      <c r="F434" s="3" t="s">
        <v>9</v>
      </c>
      <c r="G434" s="3" t="s">
        <v>10</v>
      </c>
      <c r="H434" s="3">
        <v>38</v>
      </c>
      <c r="I434" s="5">
        <f t="shared" si="6"/>
        <v>46047</v>
      </c>
      <c r="J434" s="3">
        <f>IF(COUNTIFS($C$2:C434,C434,$I$2:I434,I434)=1,1,0)</f>
        <v>0</v>
      </c>
    </row>
    <row r="435" spans="1:10" x14ac:dyDescent="0.3">
      <c r="A435" s="3" t="s">
        <v>448</v>
      </c>
      <c r="B435" s="3">
        <v>267</v>
      </c>
      <c r="C435" s="3">
        <v>15</v>
      </c>
      <c r="D435" s="4">
        <v>46051.195833333331</v>
      </c>
      <c r="E435" s="3">
        <v>49</v>
      </c>
      <c r="F435" s="3" t="s">
        <v>15</v>
      </c>
      <c r="G435" s="3" t="s">
        <v>10</v>
      </c>
      <c r="H435" s="3">
        <v>52</v>
      </c>
      <c r="I435" s="5">
        <f t="shared" si="6"/>
        <v>46051</v>
      </c>
      <c r="J435" s="3">
        <f>IF(COUNTIFS($C$2:C435,C435,$I$2:I435,I435)=1,1,0)</f>
        <v>1</v>
      </c>
    </row>
    <row r="436" spans="1:10" x14ac:dyDescent="0.3">
      <c r="A436" s="3" t="s">
        <v>449</v>
      </c>
      <c r="B436" s="3">
        <v>286</v>
      </c>
      <c r="C436" s="3">
        <v>38</v>
      </c>
      <c r="D436" s="4">
        <v>46032.335416666669</v>
      </c>
      <c r="E436" s="3">
        <v>299</v>
      </c>
      <c r="F436" s="3" t="s">
        <v>9</v>
      </c>
      <c r="G436" s="3" t="s">
        <v>10</v>
      </c>
      <c r="H436" s="3">
        <v>94</v>
      </c>
      <c r="I436" s="5">
        <f t="shared" si="6"/>
        <v>46032</v>
      </c>
      <c r="J436" s="3">
        <f>IF(COUNTIFS($C$2:C436,C436,$I$2:I436,I436)=1,1,0)</f>
        <v>0</v>
      </c>
    </row>
    <row r="437" spans="1:10" x14ac:dyDescent="0.3">
      <c r="A437" s="3" t="s">
        <v>450</v>
      </c>
      <c r="B437" s="3">
        <v>348</v>
      </c>
      <c r="C437" s="3">
        <v>28</v>
      </c>
      <c r="D437" s="4">
        <v>46052.236111111109</v>
      </c>
      <c r="E437" s="3">
        <v>499</v>
      </c>
      <c r="F437" s="3" t="s">
        <v>24</v>
      </c>
      <c r="G437" s="3" t="s">
        <v>10</v>
      </c>
      <c r="H437" s="3">
        <v>71</v>
      </c>
      <c r="I437" s="5">
        <f t="shared" si="6"/>
        <v>46052</v>
      </c>
      <c r="J437" s="3">
        <f>IF(COUNTIFS($C$2:C437,C437,$I$2:I437,I437)=1,1,0)</f>
        <v>1</v>
      </c>
    </row>
    <row r="438" spans="1:10" x14ac:dyDescent="0.3">
      <c r="A438" s="3" t="s">
        <v>451</v>
      </c>
      <c r="B438" s="3">
        <v>330</v>
      </c>
      <c r="C438" s="3">
        <v>25</v>
      </c>
      <c r="D438" s="4">
        <v>46038.056944444441</v>
      </c>
      <c r="E438" s="3">
        <v>799</v>
      </c>
      <c r="F438" s="3" t="s">
        <v>12</v>
      </c>
      <c r="G438" s="3" t="s">
        <v>10</v>
      </c>
      <c r="H438" s="3">
        <v>100</v>
      </c>
      <c r="I438" s="5">
        <f t="shared" si="6"/>
        <v>46038</v>
      </c>
      <c r="J438" s="3">
        <f>IF(COUNTIFS($C$2:C438,C438,$I$2:I438,I438)=1,1,0)</f>
        <v>1</v>
      </c>
    </row>
    <row r="439" spans="1:10" x14ac:dyDescent="0.3">
      <c r="A439" s="3" t="s">
        <v>452</v>
      </c>
      <c r="B439" s="3">
        <v>214</v>
      </c>
      <c r="C439" s="3">
        <v>27</v>
      </c>
      <c r="D439" s="4">
        <v>46039.447222222225</v>
      </c>
      <c r="E439" s="3">
        <v>299</v>
      </c>
      <c r="F439" s="3" t="s">
        <v>24</v>
      </c>
      <c r="G439" s="3" t="s">
        <v>10</v>
      </c>
      <c r="H439" s="3">
        <v>19</v>
      </c>
      <c r="I439" s="5">
        <f t="shared" si="6"/>
        <v>46039</v>
      </c>
      <c r="J439" s="3">
        <f>IF(COUNTIFS($C$2:C439,C439,$I$2:I439,I439)=1,1,0)</f>
        <v>0</v>
      </c>
    </row>
    <row r="440" spans="1:10" x14ac:dyDescent="0.3">
      <c r="A440" s="3" t="s">
        <v>453</v>
      </c>
      <c r="B440" s="3">
        <v>276</v>
      </c>
      <c r="C440" s="3">
        <v>31</v>
      </c>
      <c r="D440" s="4">
        <v>46032.507638888892</v>
      </c>
      <c r="E440" s="3">
        <v>499</v>
      </c>
      <c r="F440" s="3" t="s">
        <v>12</v>
      </c>
      <c r="G440" s="3" t="s">
        <v>10</v>
      </c>
      <c r="H440" s="3">
        <v>30</v>
      </c>
      <c r="I440" s="5">
        <f t="shared" si="6"/>
        <v>46032</v>
      </c>
      <c r="J440" s="3">
        <f>IF(COUNTIFS($C$2:C440,C440,$I$2:I440,I440)=1,1,0)</f>
        <v>1</v>
      </c>
    </row>
    <row r="441" spans="1:10" x14ac:dyDescent="0.3">
      <c r="A441" s="3" t="s">
        <v>454</v>
      </c>
      <c r="B441" s="3">
        <v>74</v>
      </c>
      <c r="C441" s="3">
        <v>30</v>
      </c>
      <c r="D441" s="4">
        <v>46050.304861111108</v>
      </c>
      <c r="E441" s="3">
        <v>49</v>
      </c>
      <c r="F441" s="3" t="s">
        <v>12</v>
      </c>
      <c r="G441" s="3" t="s">
        <v>10</v>
      </c>
      <c r="H441" s="3">
        <v>7</v>
      </c>
      <c r="I441" s="5">
        <f t="shared" si="6"/>
        <v>46050</v>
      </c>
      <c r="J441" s="3">
        <f>IF(COUNTIFS($C$2:C441,C441,$I$2:I441,I441)=1,1,0)</f>
        <v>1</v>
      </c>
    </row>
    <row r="442" spans="1:10" x14ac:dyDescent="0.3">
      <c r="A442" s="3" t="s">
        <v>455</v>
      </c>
      <c r="B442" s="3">
        <v>286</v>
      </c>
      <c r="C442" s="3">
        <v>34</v>
      </c>
      <c r="D442" s="4">
        <v>46040.55972222222</v>
      </c>
      <c r="E442" s="3">
        <v>49</v>
      </c>
      <c r="F442" s="3" t="s">
        <v>24</v>
      </c>
      <c r="G442" s="3" t="s">
        <v>10</v>
      </c>
      <c r="H442" s="3">
        <v>17</v>
      </c>
      <c r="I442" s="5">
        <f t="shared" si="6"/>
        <v>46040</v>
      </c>
      <c r="J442" s="3">
        <f>IF(COUNTIFS($C$2:C442,C442,$I$2:I442,I442)=1,1,0)</f>
        <v>0</v>
      </c>
    </row>
    <row r="443" spans="1:10" x14ac:dyDescent="0.3">
      <c r="A443" s="3" t="s">
        <v>456</v>
      </c>
      <c r="B443" s="3">
        <v>105</v>
      </c>
      <c r="C443" s="3">
        <v>22</v>
      </c>
      <c r="D443" s="4">
        <v>46035.302777777775</v>
      </c>
      <c r="E443" s="3">
        <v>4999</v>
      </c>
      <c r="F443" s="3" t="s">
        <v>12</v>
      </c>
      <c r="G443" s="3" t="s">
        <v>10</v>
      </c>
      <c r="H443" s="3">
        <v>82</v>
      </c>
      <c r="I443" s="5">
        <f t="shared" si="6"/>
        <v>46035</v>
      </c>
      <c r="J443" s="3">
        <f>IF(COUNTIFS($C$2:C443,C443,$I$2:I443,I443)=1,1,0)</f>
        <v>0</v>
      </c>
    </row>
    <row r="444" spans="1:10" x14ac:dyDescent="0.3">
      <c r="A444" s="3" t="s">
        <v>457</v>
      </c>
      <c r="B444" s="3">
        <v>190</v>
      </c>
      <c r="C444" s="3">
        <v>6</v>
      </c>
      <c r="D444" s="4">
        <v>46025.620833333334</v>
      </c>
      <c r="E444" s="3">
        <v>799</v>
      </c>
      <c r="F444" s="3" t="s">
        <v>9</v>
      </c>
      <c r="G444" s="3" t="s">
        <v>10</v>
      </c>
      <c r="H444" s="3">
        <v>68</v>
      </c>
      <c r="I444" s="5">
        <f t="shared" si="6"/>
        <v>46025</v>
      </c>
      <c r="J444" s="3">
        <f>IF(COUNTIFS($C$2:C444,C444,$I$2:I444,I444)=1,1,0)</f>
        <v>1</v>
      </c>
    </row>
    <row r="445" spans="1:10" x14ac:dyDescent="0.3">
      <c r="A445" s="3" t="s">
        <v>458</v>
      </c>
      <c r="B445" s="3">
        <v>138</v>
      </c>
      <c r="C445" s="3">
        <v>25</v>
      </c>
      <c r="D445" s="4">
        <v>46046.252083333333</v>
      </c>
      <c r="E445" s="3">
        <v>299</v>
      </c>
      <c r="F445" s="3" t="s">
        <v>9</v>
      </c>
      <c r="G445" s="3" t="s">
        <v>10</v>
      </c>
      <c r="H445" s="3">
        <v>86</v>
      </c>
      <c r="I445" s="5">
        <f t="shared" si="6"/>
        <v>46046</v>
      </c>
      <c r="J445" s="3">
        <f>IF(COUNTIFS($C$2:C445,C445,$I$2:I445,I445)=1,1,0)</f>
        <v>0</v>
      </c>
    </row>
    <row r="446" spans="1:10" x14ac:dyDescent="0.3">
      <c r="A446" s="3" t="s">
        <v>459</v>
      </c>
      <c r="B446" s="3">
        <v>38</v>
      </c>
      <c r="C446" s="3">
        <v>13</v>
      </c>
      <c r="D446" s="4">
        <v>46042.793055555558</v>
      </c>
      <c r="E446" s="3">
        <v>4999</v>
      </c>
      <c r="F446" s="3" t="s">
        <v>15</v>
      </c>
      <c r="G446" s="3" t="s">
        <v>10</v>
      </c>
      <c r="H446" s="3">
        <v>97</v>
      </c>
      <c r="I446" s="5">
        <f t="shared" si="6"/>
        <v>46042</v>
      </c>
      <c r="J446" s="3">
        <f>IF(COUNTIFS($C$2:C446,C446,$I$2:I446,I446)=1,1,0)</f>
        <v>1</v>
      </c>
    </row>
    <row r="447" spans="1:10" x14ac:dyDescent="0.3">
      <c r="A447" s="3" t="s">
        <v>460</v>
      </c>
      <c r="B447" s="3">
        <v>287</v>
      </c>
      <c r="C447" s="3">
        <v>14</v>
      </c>
      <c r="D447" s="4">
        <v>46041.987500000003</v>
      </c>
      <c r="E447" s="3">
        <v>99</v>
      </c>
      <c r="F447" s="3" t="s">
        <v>9</v>
      </c>
      <c r="G447" s="3" t="s">
        <v>10</v>
      </c>
      <c r="H447" s="3">
        <v>61</v>
      </c>
      <c r="I447" s="5">
        <f t="shared" si="6"/>
        <v>46041</v>
      </c>
      <c r="J447" s="3">
        <f>IF(COUNTIFS($C$2:C447,C447,$I$2:I447,I447)=1,1,0)</f>
        <v>1</v>
      </c>
    </row>
    <row r="448" spans="1:10" x14ac:dyDescent="0.3">
      <c r="A448" s="3" t="s">
        <v>461</v>
      </c>
      <c r="B448" s="3">
        <v>8</v>
      </c>
      <c r="C448" s="3">
        <v>14</v>
      </c>
      <c r="D448" s="4">
        <v>46029.429861111108</v>
      </c>
      <c r="E448" s="3">
        <v>49</v>
      </c>
      <c r="F448" s="3" t="s">
        <v>12</v>
      </c>
      <c r="G448" s="3" t="s">
        <v>10</v>
      </c>
      <c r="H448" s="3">
        <v>24</v>
      </c>
      <c r="I448" s="5">
        <f t="shared" si="6"/>
        <v>46029</v>
      </c>
      <c r="J448" s="3">
        <f>IF(COUNTIFS($C$2:C448,C448,$I$2:I448,I448)=1,1,0)</f>
        <v>1</v>
      </c>
    </row>
    <row r="449" spans="1:10" x14ac:dyDescent="0.3">
      <c r="A449" s="3" t="s">
        <v>462</v>
      </c>
      <c r="B449" s="3">
        <v>246</v>
      </c>
      <c r="C449" s="3">
        <v>16</v>
      </c>
      <c r="D449" s="4">
        <v>46046.157638888886</v>
      </c>
      <c r="E449" s="3">
        <v>1499</v>
      </c>
      <c r="F449" s="3" t="s">
        <v>9</v>
      </c>
      <c r="G449" s="3" t="s">
        <v>10</v>
      </c>
      <c r="H449" s="3">
        <v>89</v>
      </c>
      <c r="I449" s="5">
        <f t="shared" si="6"/>
        <v>46046</v>
      </c>
      <c r="J449" s="3">
        <f>IF(COUNTIFS($C$2:C449,C449,$I$2:I449,I449)=1,1,0)</f>
        <v>0</v>
      </c>
    </row>
    <row r="450" spans="1:10" x14ac:dyDescent="0.3">
      <c r="A450" s="3" t="s">
        <v>463</v>
      </c>
      <c r="B450" s="3">
        <v>204</v>
      </c>
      <c r="C450" s="3">
        <v>16</v>
      </c>
      <c r="D450" s="4">
        <v>46042.925694444442</v>
      </c>
      <c r="E450" s="3">
        <v>149</v>
      </c>
      <c r="F450" s="3" t="s">
        <v>12</v>
      </c>
      <c r="G450" s="3" t="s">
        <v>10</v>
      </c>
      <c r="H450" s="3">
        <v>70</v>
      </c>
      <c r="I450" s="5">
        <f t="shared" si="6"/>
        <v>46042</v>
      </c>
      <c r="J450" s="3">
        <f>IF(COUNTIFS($C$2:C450,C450,$I$2:I450,I450)=1,1,0)</f>
        <v>0</v>
      </c>
    </row>
    <row r="451" spans="1:10" x14ac:dyDescent="0.3">
      <c r="A451" s="3" t="s">
        <v>464</v>
      </c>
      <c r="B451" s="3">
        <v>239</v>
      </c>
      <c r="C451" s="3">
        <v>35</v>
      </c>
      <c r="D451" s="4">
        <v>46033.39166666667</v>
      </c>
      <c r="E451" s="3">
        <v>4999</v>
      </c>
      <c r="F451" s="3" t="s">
        <v>12</v>
      </c>
      <c r="G451" s="3" t="s">
        <v>10</v>
      </c>
      <c r="H451" s="3">
        <v>83</v>
      </c>
      <c r="I451" s="5">
        <f t="shared" ref="I451:I514" si="7">INT(D451)</f>
        <v>46033</v>
      </c>
      <c r="J451" s="3">
        <f>IF(COUNTIFS($C$2:C451,C451,$I$2:I451,I451)=1,1,0)</f>
        <v>1</v>
      </c>
    </row>
    <row r="452" spans="1:10" x14ac:dyDescent="0.3">
      <c r="A452" s="3" t="s">
        <v>465</v>
      </c>
      <c r="B452" s="3">
        <v>185</v>
      </c>
      <c r="C452" s="3">
        <v>33</v>
      </c>
      <c r="D452" s="4">
        <v>46034.386111111111</v>
      </c>
      <c r="E452" s="3">
        <v>299</v>
      </c>
      <c r="F452" s="3" t="s">
        <v>12</v>
      </c>
      <c r="G452" s="3" t="s">
        <v>10</v>
      </c>
      <c r="H452" s="3">
        <v>63</v>
      </c>
      <c r="I452" s="5">
        <f t="shared" si="7"/>
        <v>46034</v>
      </c>
      <c r="J452" s="3">
        <f>IF(COUNTIFS($C$2:C452,C452,$I$2:I452,I452)=1,1,0)</f>
        <v>1</v>
      </c>
    </row>
    <row r="453" spans="1:10" x14ac:dyDescent="0.3">
      <c r="A453" s="3" t="s">
        <v>466</v>
      </c>
      <c r="B453" s="3">
        <v>241</v>
      </c>
      <c r="C453" s="3">
        <v>21</v>
      </c>
      <c r="D453" s="4">
        <v>46037.160416666666</v>
      </c>
      <c r="E453" s="3">
        <v>299</v>
      </c>
      <c r="F453" s="3" t="s">
        <v>24</v>
      </c>
      <c r="G453" s="3" t="s">
        <v>10</v>
      </c>
      <c r="H453" s="3">
        <v>26</v>
      </c>
      <c r="I453" s="5">
        <f t="shared" si="7"/>
        <v>46037</v>
      </c>
      <c r="J453" s="3">
        <f>IF(COUNTIFS($C$2:C453,C453,$I$2:I453,I453)=1,1,0)</f>
        <v>1</v>
      </c>
    </row>
    <row r="454" spans="1:10" x14ac:dyDescent="0.3">
      <c r="A454" s="3" t="s">
        <v>467</v>
      </c>
      <c r="B454" s="3">
        <v>24</v>
      </c>
      <c r="C454" s="3">
        <v>37</v>
      </c>
      <c r="D454" s="4">
        <v>46034.43472222222</v>
      </c>
      <c r="E454" s="3">
        <v>149</v>
      </c>
      <c r="F454" s="3" t="s">
        <v>12</v>
      </c>
      <c r="G454" s="3" t="s">
        <v>10</v>
      </c>
      <c r="H454" s="3">
        <v>28</v>
      </c>
      <c r="I454" s="5">
        <f t="shared" si="7"/>
        <v>46034</v>
      </c>
      <c r="J454" s="3">
        <f>IF(COUNTIFS($C$2:C454,C454,$I$2:I454,I454)=1,1,0)</f>
        <v>1</v>
      </c>
    </row>
    <row r="455" spans="1:10" x14ac:dyDescent="0.3">
      <c r="A455" s="3" t="s">
        <v>468</v>
      </c>
      <c r="B455" s="3">
        <v>134</v>
      </c>
      <c r="C455" s="3">
        <v>36</v>
      </c>
      <c r="D455" s="4">
        <v>46046.167361111111</v>
      </c>
      <c r="E455" s="3">
        <v>1499</v>
      </c>
      <c r="F455" s="3" t="s">
        <v>12</v>
      </c>
      <c r="G455" s="3" t="s">
        <v>10</v>
      </c>
      <c r="H455" s="3">
        <v>74</v>
      </c>
      <c r="I455" s="5">
        <f t="shared" si="7"/>
        <v>46046</v>
      </c>
      <c r="J455" s="3">
        <f>IF(COUNTIFS($C$2:C455,C455,$I$2:I455,I455)=1,1,0)</f>
        <v>0</v>
      </c>
    </row>
    <row r="456" spans="1:10" x14ac:dyDescent="0.3">
      <c r="A456" s="3" t="s">
        <v>469</v>
      </c>
      <c r="B456" s="3">
        <v>152</v>
      </c>
      <c r="C456" s="3">
        <v>10</v>
      </c>
      <c r="D456" s="4">
        <v>46041.976388888892</v>
      </c>
      <c r="E456" s="3">
        <v>499</v>
      </c>
      <c r="F456" s="3" t="s">
        <v>9</v>
      </c>
      <c r="G456" s="3" t="s">
        <v>10</v>
      </c>
      <c r="H456" s="3">
        <v>25</v>
      </c>
      <c r="I456" s="5">
        <f t="shared" si="7"/>
        <v>46041</v>
      </c>
      <c r="J456" s="3">
        <f>IF(COUNTIFS($C$2:C456,C456,$I$2:I456,I456)=1,1,0)</f>
        <v>1</v>
      </c>
    </row>
    <row r="457" spans="1:10" x14ac:dyDescent="0.3">
      <c r="A457" s="3" t="s">
        <v>470</v>
      </c>
      <c r="B457" s="3">
        <v>292</v>
      </c>
      <c r="C457" s="3">
        <v>16</v>
      </c>
      <c r="D457" s="4">
        <v>46033.308333333334</v>
      </c>
      <c r="E457" s="3">
        <v>499</v>
      </c>
      <c r="F457" s="3" t="s">
        <v>15</v>
      </c>
      <c r="G457" s="3" t="s">
        <v>10</v>
      </c>
      <c r="H457" s="3">
        <v>63</v>
      </c>
      <c r="I457" s="5">
        <f t="shared" si="7"/>
        <v>46033</v>
      </c>
      <c r="J457" s="3">
        <f>IF(COUNTIFS($C$2:C457,C457,$I$2:I457,I457)=1,1,0)</f>
        <v>1</v>
      </c>
    </row>
    <row r="458" spans="1:10" x14ac:dyDescent="0.3">
      <c r="A458" s="3" t="s">
        <v>471</v>
      </c>
      <c r="B458" s="3">
        <v>173</v>
      </c>
      <c r="C458" s="3">
        <v>17</v>
      </c>
      <c r="D458" s="4">
        <v>46040.863194444442</v>
      </c>
      <c r="E458" s="3">
        <v>99</v>
      </c>
      <c r="F458" s="3" t="s">
        <v>15</v>
      </c>
      <c r="G458" s="3" t="s">
        <v>10</v>
      </c>
      <c r="H458" s="3">
        <v>97</v>
      </c>
      <c r="I458" s="5">
        <f t="shared" si="7"/>
        <v>46040</v>
      </c>
      <c r="J458" s="3">
        <f>IF(COUNTIFS($C$2:C458,C458,$I$2:I458,I458)=1,1,0)</f>
        <v>0</v>
      </c>
    </row>
    <row r="459" spans="1:10" x14ac:dyDescent="0.3">
      <c r="A459" s="3" t="s">
        <v>472</v>
      </c>
      <c r="B459" s="3">
        <v>329</v>
      </c>
      <c r="C459" s="3">
        <v>32</v>
      </c>
      <c r="D459" s="4">
        <v>46049.656944444447</v>
      </c>
      <c r="E459" s="3">
        <v>1499</v>
      </c>
      <c r="F459" s="3" t="s">
        <v>12</v>
      </c>
      <c r="G459" s="3" t="s">
        <v>10</v>
      </c>
      <c r="H459" s="3">
        <v>58</v>
      </c>
      <c r="I459" s="5">
        <f t="shared" si="7"/>
        <v>46049</v>
      </c>
      <c r="J459" s="3">
        <f>IF(COUNTIFS($C$2:C459,C459,$I$2:I459,I459)=1,1,0)</f>
        <v>1</v>
      </c>
    </row>
    <row r="460" spans="1:10" x14ac:dyDescent="0.3">
      <c r="A460" s="3" t="s">
        <v>473</v>
      </c>
      <c r="B460" s="3">
        <v>181</v>
      </c>
      <c r="C460" s="3">
        <v>11</v>
      </c>
      <c r="D460" s="4">
        <v>46028.993055555555</v>
      </c>
      <c r="E460" s="3">
        <v>1499</v>
      </c>
      <c r="F460" s="3" t="s">
        <v>12</v>
      </c>
      <c r="G460" s="3" t="s">
        <v>10</v>
      </c>
      <c r="H460" s="3">
        <v>17</v>
      </c>
      <c r="I460" s="5">
        <f t="shared" si="7"/>
        <v>46028</v>
      </c>
      <c r="J460" s="3">
        <f>IF(COUNTIFS($C$2:C460,C460,$I$2:I460,I460)=1,1,0)</f>
        <v>1</v>
      </c>
    </row>
    <row r="461" spans="1:10" x14ac:dyDescent="0.3">
      <c r="A461" s="3" t="s">
        <v>474</v>
      </c>
      <c r="B461" s="3">
        <v>95</v>
      </c>
      <c r="C461" s="3">
        <v>35</v>
      </c>
      <c r="D461" s="4">
        <v>46046.729861111111</v>
      </c>
      <c r="E461" s="3">
        <v>149</v>
      </c>
      <c r="F461" s="3" t="s">
        <v>9</v>
      </c>
      <c r="G461" s="3" t="s">
        <v>10</v>
      </c>
      <c r="H461" s="3">
        <v>82</v>
      </c>
      <c r="I461" s="5">
        <f t="shared" si="7"/>
        <v>46046</v>
      </c>
      <c r="J461" s="3">
        <f>IF(COUNTIFS($C$2:C461,C461,$I$2:I461,I461)=1,1,0)</f>
        <v>1</v>
      </c>
    </row>
    <row r="462" spans="1:10" x14ac:dyDescent="0.3">
      <c r="A462" s="3" t="s">
        <v>475</v>
      </c>
      <c r="B462" s="3">
        <v>39</v>
      </c>
      <c r="C462" s="3">
        <v>4</v>
      </c>
      <c r="D462" s="4">
        <v>46024.668055555558</v>
      </c>
      <c r="E462" s="3">
        <v>149</v>
      </c>
      <c r="F462" s="3" t="s">
        <v>15</v>
      </c>
      <c r="G462" s="3" t="s">
        <v>10</v>
      </c>
      <c r="H462" s="3">
        <v>97</v>
      </c>
      <c r="I462" s="5">
        <f t="shared" si="7"/>
        <v>46024</v>
      </c>
      <c r="J462" s="3">
        <f>IF(COUNTIFS($C$2:C462,C462,$I$2:I462,I462)=1,1,0)</f>
        <v>1</v>
      </c>
    </row>
    <row r="463" spans="1:10" x14ac:dyDescent="0.3">
      <c r="A463" s="3" t="s">
        <v>476</v>
      </c>
      <c r="B463" s="3">
        <v>323</v>
      </c>
      <c r="C463" s="3">
        <v>15</v>
      </c>
      <c r="D463" s="4">
        <v>46023.547222222223</v>
      </c>
      <c r="E463" s="3">
        <v>499</v>
      </c>
      <c r="F463" s="3" t="s">
        <v>12</v>
      </c>
      <c r="G463" s="3" t="s">
        <v>10</v>
      </c>
      <c r="H463" s="3">
        <v>8</v>
      </c>
      <c r="I463" s="5">
        <f t="shared" si="7"/>
        <v>46023</v>
      </c>
      <c r="J463" s="3">
        <f>IF(COUNTIFS($C$2:C463,C463,$I$2:I463,I463)=1,1,0)</f>
        <v>1</v>
      </c>
    </row>
    <row r="464" spans="1:10" x14ac:dyDescent="0.3">
      <c r="A464" s="3" t="s">
        <v>477</v>
      </c>
      <c r="B464" s="3">
        <v>112</v>
      </c>
      <c r="C464" s="3">
        <v>33</v>
      </c>
      <c r="D464" s="4">
        <v>46045.166666666664</v>
      </c>
      <c r="E464" s="3">
        <v>49</v>
      </c>
      <c r="F464" s="3" t="s">
        <v>15</v>
      </c>
      <c r="G464" s="3" t="s">
        <v>10</v>
      </c>
      <c r="H464" s="3">
        <v>58</v>
      </c>
      <c r="I464" s="5">
        <f t="shared" si="7"/>
        <v>46045</v>
      </c>
      <c r="J464" s="3">
        <f>IF(COUNTIFS($C$2:C464,C464,$I$2:I464,I464)=1,1,0)</f>
        <v>1</v>
      </c>
    </row>
    <row r="465" spans="1:10" x14ac:dyDescent="0.3">
      <c r="A465" s="3" t="s">
        <v>478</v>
      </c>
      <c r="B465" s="3">
        <v>327</v>
      </c>
      <c r="C465" s="3">
        <v>40</v>
      </c>
      <c r="D465" s="4">
        <v>46034.068749999999</v>
      </c>
      <c r="E465" s="3">
        <v>99</v>
      </c>
      <c r="F465" s="3" t="s">
        <v>12</v>
      </c>
      <c r="G465" s="3" t="s">
        <v>10</v>
      </c>
      <c r="H465" s="3">
        <v>61</v>
      </c>
      <c r="I465" s="5">
        <f t="shared" si="7"/>
        <v>46034</v>
      </c>
      <c r="J465" s="3">
        <f>IF(COUNTIFS($C$2:C465,C465,$I$2:I465,I465)=1,1,0)</f>
        <v>1</v>
      </c>
    </row>
    <row r="466" spans="1:10" x14ac:dyDescent="0.3">
      <c r="A466" s="3" t="s">
        <v>479</v>
      </c>
      <c r="B466" s="3">
        <v>4</v>
      </c>
      <c r="C466" s="3">
        <v>35</v>
      </c>
      <c r="D466" s="4">
        <v>46044.625694444447</v>
      </c>
      <c r="E466" s="3">
        <v>299</v>
      </c>
      <c r="F466" s="3" t="s">
        <v>12</v>
      </c>
      <c r="G466" s="3" t="s">
        <v>10</v>
      </c>
      <c r="H466" s="3">
        <v>70</v>
      </c>
      <c r="I466" s="5">
        <f t="shared" si="7"/>
        <v>46044</v>
      </c>
      <c r="J466" s="3">
        <f>IF(COUNTIFS($C$2:C466,C466,$I$2:I466,I466)=1,1,0)</f>
        <v>1</v>
      </c>
    </row>
    <row r="467" spans="1:10" x14ac:dyDescent="0.3">
      <c r="A467" s="3" t="s">
        <v>480</v>
      </c>
      <c r="B467" s="3">
        <v>272</v>
      </c>
      <c r="C467" s="3">
        <v>18</v>
      </c>
      <c r="D467" s="4">
        <v>46036.000694444447</v>
      </c>
      <c r="E467" s="3">
        <v>149</v>
      </c>
      <c r="F467" s="3" t="s">
        <v>12</v>
      </c>
      <c r="G467" s="3" t="s">
        <v>10</v>
      </c>
      <c r="H467" s="3">
        <v>68</v>
      </c>
      <c r="I467" s="5">
        <f t="shared" si="7"/>
        <v>46036</v>
      </c>
      <c r="J467" s="3">
        <f>IF(COUNTIFS($C$2:C467,C467,$I$2:I467,I467)=1,1,0)</f>
        <v>1</v>
      </c>
    </row>
    <row r="468" spans="1:10" x14ac:dyDescent="0.3">
      <c r="A468" s="3" t="s">
        <v>481</v>
      </c>
      <c r="B468" s="3">
        <v>346</v>
      </c>
      <c r="C468" s="3">
        <v>28</v>
      </c>
      <c r="D468" s="4">
        <v>46032.022222222222</v>
      </c>
      <c r="E468" s="3">
        <v>499</v>
      </c>
      <c r="F468" s="3" t="s">
        <v>12</v>
      </c>
      <c r="G468" s="3" t="s">
        <v>10</v>
      </c>
      <c r="H468" s="3">
        <v>22</v>
      </c>
      <c r="I468" s="5">
        <f t="shared" si="7"/>
        <v>46032</v>
      </c>
      <c r="J468" s="3">
        <f>IF(COUNTIFS($C$2:C468,C468,$I$2:I468,I468)=1,1,0)</f>
        <v>1</v>
      </c>
    </row>
    <row r="469" spans="1:10" x14ac:dyDescent="0.3">
      <c r="A469" s="3" t="s">
        <v>482</v>
      </c>
      <c r="B469" s="3">
        <v>77</v>
      </c>
      <c r="C469" s="3">
        <v>16</v>
      </c>
      <c r="D469" s="4">
        <v>46026.147916666669</v>
      </c>
      <c r="E469" s="3">
        <v>49</v>
      </c>
      <c r="F469" s="3" t="s">
        <v>9</v>
      </c>
      <c r="G469" s="3" t="s">
        <v>10</v>
      </c>
      <c r="H469" s="3">
        <v>24</v>
      </c>
      <c r="I469" s="5">
        <f t="shared" si="7"/>
        <v>46026</v>
      </c>
      <c r="J469" s="3">
        <f>IF(COUNTIFS($C$2:C469,C469,$I$2:I469,I469)=1,1,0)</f>
        <v>1</v>
      </c>
    </row>
    <row r="470" spans="1:10" x14ac:dyDescent="0.3">
      <c r="A470" s="3" t="s">
        <v>483</v>
      </c>
      <c r="B470" s="3">
        <v>182</v>
      </c>
      <c r="C470" s="3">
        <v>18</v>
      </c>
      <c r="D470" s="4">
        <v>46042.677777777775</v>
      </c>
      <c r="E470" s="3">
        <v>149</v>
      </c>
      <c r="F470" s="3" t="s">
        <v>24</v>
      </c>
      <c r="G470" s="3" t="s">
        <v>10</v>
      </c>
      <c r="H470" s="3">
        <v>50</v>
      </c>
      <c r="I470" s="5">
        <f t="shared" si="7"/>
        <v>46042</v>
      </c>
      <c r="J470" s="3">
        <f>IF(COUNTIFS($C$2:C470,C470,$I$2:I470,I470)=1,1,0)</f>
        <v>1</v>
      </c>
    </row>
    <row r="471" spans="1:10" x14ac:dyDescent="0.3">
      <c r="A471" s="3" t="s">
        <v>484</v>
      </c>
      <c r="B471" s="3">
        <v>236</v>
      </c>
      <c r="C471" s="3">
        <v>37</v>
      </c>
      <c r="D471" s="4">
        <v>46025.475694444445</v>
      </c>
      <c r="E471" s="3">
        <v>299</v>
      </c>
      <c r="F471" s="3" t="s">
        <v>24</v>
      </c>
      <c r="G471" s="3" t="s">
        <v>10</v>
      </c>
      <c r="H471" s="3">
        <v>31</v>
      </c>
      <c r="I471" s="5">
        <f t="shared" si="7"/>
        <v>46025</v>
      </c>
      <c r="J471" s="3">
        <f>IF(COUNTIFS($C$2:C471,C471,$I$2:I471,I471)=1,1,0)</f>
        <v>1</v>
      </c>
    </row>
    <row r="472" spans="1:10" x14ac:dyDescent="0.3">
      <c r="A472" s="3" t="s">
        <v>485</v>
      </c>
      <c r="B472" s="3">
        <v>42</v>
      </c>
      <c r="C472" s="3">
        <v>3</v>
      </c>
      <c r="D472" s="4">
        <v>46045.304861111108</v>
      </c>
      <c r="E472" s="3">
        <v>49</v>
      </c>
      <c r="F472" s="3" t="s">
        <v>12</v>
      </c>
      <c r="G472" s="3" t="s">
        <v>10</v>
      </c>
      <c r="H472" s="3">
        <v>11</v>
      </c>
      <c r="I472" s="5">
        <f t="shared" si="7"/>
        <v>46045</v>
      </c>
      <c r="J472" s="3">
        <f>IF(COUNTIFS($C$2:C472,C472,$I$2:I472,I472)=1,1,0)</f>
        <v>1</v>
      </c>
    </row>
    <row r="473" spans="1:10" x14ac:dyDescent="0.3">
      <c r="A473" s="3" t="s">
        <v>486</v>
      </c>
      <c r="B473" s="3">
        <v>283</v>
      </c>
      <c r="C473" s="3">
        <v>31</v>
      </c>
      <c r="D473" s="4">
        <v>46035.51666666667</v>
      </c>
      <c r="E473" s="3">
        <v>299</v>
      </c>
      <c r="F473" s="3" t="s">
        <v>15</v>
      </c>
      <c r="G473" s="3" t="s">
        <v>10</v>
      </c>
      <c r="H473" s="3">
        <v>7</v>
      </c>
      <c r="I473" s="5">
        <f t="shared" si="7"/>
        <v>46035</v>
      </c>
      <c r="J473" s="3">
        <f>IF(COUNTIFS($C$2:C473,C473,$I$2:I473,I473)=1,1,0)</f>
        <v>1</v>
      </c>
    </row>
    <row r="474" spans="1:10" x14ac:dyDescent="0.3">
      <c r="A474" s="3" t="s">
        <v>487</v>
      </c>
      <c r="B474" s="3">
        <v>88</v>
      </c>
      <c r="C474" s="3">
        <v>6</v>
      </c>
      <c r="D474" s="4">
        <v>46043.030555555553</v>
      </c>
      <c r="E474" s="3">
        <v>49</v>
      </c>
      <c r="F474" s="3" t="s">
        <v>12</v>
      </c>
      <c r="G474" s="3" t="s">
        <v>10</v>
      </c>
      <c r="H474" s="3">
        <v>63</v>
      </c>
      <c r="I474" s="5">
        <f t="shared" si="7"/>
        <v>46043</v>
      </c>
      <c r="J474" s="3">
        <f>IF(COUNTIFS($C$2:C474,C474,$I$2:I474,I474)=1,1,0)</f>
        <v>1</v>
      </c>
    </row>
    <row r="475" spans="1:10" x14ac:dyDescent="0.3">
      <c r="A475" s="3" t="s">
        <v>488</v>
      </c>
      <c r="B475" s="3">
        <v>170</v>
      </c>
      <c r="C475" s="3">
        <v>37</v>
      </c>
      <c r="D475" s="4">
        <v>46050.570138888892</v>
      </c>
      <c r="E475" s="3">
        <v>99</v>
      </c>
      <c r="F475" s="3" t="s">
        <v>12</v>
      </c>
      <c r="G475" s="3" t="s">
        <v>25</v>
      </c>
      <c r="H475" s="3">
        <v>12</v>
      </c>
      <c r="I475" s="5">
        <f t="shared" si="7"/>
        <v>46050</v>
      </c>
      <c r="J475" s="3">
        <f>IF(COUNTIFS($C$2:C475,C475,$I$2:I475,I475)=1,1,0)</f>
        <v>0</v>
      </c>
    </row>
    <row r="476" spans="1:10" x14ac:dyDescent="0.3">
      <c r="A476" s="3" t="s">
        <v>489</v>
      </c>
      <c r="B476" s="3">
        <v>22</v>
      </c>
      <c r="C476" s="3">
        <v>15</v>
      </c>
      <c r="D476" s="4">
        <v>46051.706944444442</v>
      </c>
      <c r="E476" s="3">
        <v>49</v>
      </c>
      <c r="F476" s="3" t="s">
        <v>15</v>
      </c>
      <c r="G476" s="3" t="s">
        <v>10</v>
      </c>
      <c r="H476" s="3">
        <v>27</v>
      </c>
      <c r="I476" s="5">
        <f t="shared" si="7"/>
        <v>46051</v>
      </c>
      <c r="J476" s="3">
        <f>IF(COUNTIFS($C$2:C476,C476,$I$2:I476,I476)=1,1,0)</f>
        <v>0</v>
      </c>
    </row>
    <row r="477" spans="1:10" x14ac:dyDescent="0.3">
      <c r="A477" s="3" t="s">
        <v>490</v>
      </c>
      <c r="B477" s="3">
        <v>291</v>
      </c>
      <c r="C477" s="3">
        <v>31</v>
      </c>
      <c r="D477" s="4">
        <v>46051.955555555556</v>
      </c>
      <c r="E477" s="3">
        <v>49</v>
      </c>
      <c r="F477" s="3" t="s">
        <v>15</v>
      </c>
      <c r="G477" s="3" t="s">
        <v>25</v>
      </c>
      <c r="H477" s="3">
        <v>34</v>
      </c>
      <c r="I477" s="5">
        <f t="shared" si="7"/>
        <v>46051</v>
      </c>
      <c r="J477" s="3">
        <f>IF(COUNTIFS($C$2:C477,C477,$I$2:I477,I477)=1,1,0)</f>
        <v>1</v>
      </c>
    </row>
    <row r="478" spans="1:10" x14ac:dyDescent="0.3">
      <c r="A478" s="3" t="s">
        <v>491</v>
      </c>
      <c r="B478" s="3">
        <v>144</v>
      </c>
      <c r="C478" s="3">
        <v>35</v>
      </c>
      <c r="D478" s="4">
        <v>46024.113194444442</v>
      </c>
      <c r="E478" s="3">
        <v>1499</v>
      </c>
      <c r="F478" s="3" t="s">
        <v>12</v>
      </c>
      <c r="G478" s="3" t="s">
        <v>10</v>
      </c>
      <c r="H478" s="3">
        <v>72</v>
      </c>
      <c r="I478" s="5">
        <f t="shared" si="7"/>
        <v>46024</v>
      </c>
      <c r="J478" s="3">
        <f>IF(COUNTIFS($C$2:C478,C478,$I$2:I478,I478)=1,1,0)</f>
        <v>0</v>
      </c>
    </row>
    <row r="479" spans="1:10" x14ac:dyDescent="0.3">
      <c r="A479" s="3" t="s">
        <v>492</v>
      </c>
      <c r="B479" s="3">
        <v>162</v>
      </c>
      <c r="C479" s="3">
        <v>2</v>
      </c>
      <c r="D479" s="4">
        <v>46044.049305555556</v>
      </c>
      <c r="E479" s="3">
        <v>299</v>
      </c>
      <c r="F479" s="3" t="s">
        <v>9</v>
      </c>
      <c r="G479" s="3" t="s">
        <v>10</v>
      </c>
      <c r="H479" s="3">
        <v>26</v>
      </c>
      <c r="I479" s="5">
        <f t="shared" si="7"/>
        <v>46044</v>
      </c>
      <c r="J479" s="3">
        <f>IF(COUNTIFS($C$2:C479,C479,$I$2:I479,I479)=1,1,0)</f>
        <v>1</v>
      </c>
    </row>
    <row r="480" spans="1:10" x14ac:dyDescent="0.3">
      <c r="A480" s="3" t="s">
        <v>493</v>
      </c>
      <c r="B480" s="3">
        <v>204</v>
      </c>
      <c r="C480" s="3">
        <v>5</v>
      </c>
      <c r="D480" s="4">
        <v>46041.2</v>
      </c>
      <c r="E480" s="3">
        <v>49</v>
      </c>
      <c r="F480" s="3" t="s">
        <v>12</v>
      </c>
      <c r="G480" s="3" t="s">
        <v>10</v>
      </c>
      <c r="H480" s="3">
        <v>38</v>
      </c>
      <c r="I480" s="5">
        <f t="shared" si="7"/>
        <v>46041</v>
      </c>
      <c r="J480" s="3">
        <f>IF(COUNTIFS($C$2:C480,C480,$I$2:I480,I480)=1,1,0)</f>
        <v>1</v>
      </c>
    </row>
    <row r="481" spans="1:10" x14ac:dyDescent="0.3">
      <c r="A481" s="3" t="s">
        <v>494</v>
      </c>
      <c r="B481" s="3">
        <v>291</v>
      </c>
      <c r="C481" s="3">
        <v>25</v>
      </c>
      <c r="D481" s="4">
        <v>46028.760416666664</v>
      </c>
      <c r="E481" s="3">
        <v>99</v>
      </c>
      <c r="F481" s="3" t="s">
        <v>9</v>
      </c>
      <c r="G481" s="3" t="s">
        <v>10</v>
      </c>
      <c r="H481" s="3">
        <v>86</v>
      </c>
      <c r="I481" s="5">
        <f t="shared" si="7"/>
        <v>46028</v>
      </c>
      <c r="J481" s="3">
        <f>IF(COUNTIFS($C$2:C481,C481,$I$2:I481,I481)=1,1,0)</f>
        <v>0</v>
      </c>
    </row>
    <row r="482" spans="1:10" x14ac:dyDescent="0.3">
      <c r="A482" s="3" t="s">
        <v>495</v>
      </c>
      <c r="B482" s="3">
        <v>197</v>
      </c>
      <c r="C482" s="3">
        <v>9</v>
      </c>
      <c r="D482" s="4">
        <v>46051.722916666666</v>
      </c>
      <c r="E482" s="3">
        <v>49</v>
      </c>
      <c r="F482" s="3" t="s">
        <v>9</v>
      </c>
      <c r="G482" s="3" t="s">
        <v>25</v>
      </c>
      <c r="H482" s="3">
        <v>88</v>
      </c>
      <c r="I482" s="5">
        <f t="shared" si="7"/>
        <v>46051</v>
      </c>
      <c r="J482" s="3">
        <f>IF(COUNTIFS($C$2:C482,C482,$I$2:I482,I482)=1,1,0)</f>
        <v>1</v>
      </c>
    </row>
    <row r="483" spans="1:10" x14ac:dyDescent="0.3">
      <c r="A483" s="3" t="s">
        <v>496</v>
      </c>
      <c r="B483" s="3">
        <v>178</v>
      </c>
      <c r="C483" s="3">
        <v>4</v>
      </c>
      <c r="D483" s="4">
        <v>46046.105555555558</v>
      </c>
      <c r="E483" s="3">
        <v>1499</v>
      </c>
      <c r="F483" s="3" t="s">
        <v>12</v>
      </c>
      <c r="G483" s="3" t="s">
        <v>10</v>
      </c>
      <c r="H483" s="3">
        <v>12</v>
      </c>
      <c r="I483" s="5">
        <f t="shared" si="7"/>
        <v>46046</v>
      </c>
      <c r="J483" s="3">
        <f>IF(COUNTIFS($C$2:C483,C483,$I$2:I483,I483)=1,1,0)</f>
        <v>1</v>
      </c>
    </row>
    <row r="484" spans="1:10" x14ac:dyDescent="0.3">
      <c r="A484" s="3" t="s">
        <v>497</v>
      </c>
      <c r="B484" s="3">
        <v>39</v>
      </c>
      <c r="C484" s="3">
        <v>22</v>
      </c>
      <c r="D484" s="4">
        <v>46036.328472222223</v>
      </c>
      <c r="E484" s="3">
        <v>799</v>
      </c>
      <c r="F484" s="3" t="s">
        <v>15</v>
      </c>
      <c r="G484" s="3" t="s">
        <v>10</v>
      </c>
      <c r="H484" s="3">
        <v>77</v>
      </c>
      <c r="I484" s="5">
        <f t="shared" si="7"/>
        <v>46036</v>
      </c>
      <c r="J484" s="3">
        <f>IF(COUNTIFS($C$2:C484,C484,$I$2:I484,I484)=1,1,0)</f>
        <v>1</v>
      </c>
    </row>
    <row r="485" spans="1:10" x14ac:dyDescent="0.3">
      <c r="A485" s="3" t="s">
        <v>498</v>
      </c>
      <c r="B485" s="3">
        <v>204</v>
      </c>
      <c r="C485" s="3">
        <v>21</v>
      </c>
      <c r="D485" s="4">
        <v>46047.818055555559</v>
      </c>
      <c r="E485" s="3">
        <v>299</v>
      </c>
      <c r="F485" s="3" t="s">
        <v>9</v>
      </c>
      <c r="G485" s="3" t="s">
        <v>10</v>
      </c>
      <c r="H485" s="3">
        <v>3</v>
      </c>
      <c r="I485" s="5">
        <f t="shared" si="7"/>
        <v>46047</v>
      </c>
      <c r="J485" s="3">
        <f>IF(COUNTIFS($C$2:C485,C485,$I$2:I485,I485)=1,1,0)</f>
        <v>1</v>
      </c>
    </row>
    <row r="486" spans="1:10" x14ac:dyDescent="0.3">
      <c r="A486" s="3" t="s">
        <v>499</v>
      </c>
      <c r="B486" s="3">
        <v>231</v>
      </c>
      <c r="C486" s="3">
        <v>32</v>
      </c>
      <c r="D486" s="4">
        <v>46043.368055555555</v>
      </c>
      <c r="E486" s="3">
        <v>299</v>
      </c>
      <c r="F486" s="3" t="s">
        <v>12</v>
      </c>
      <c r="G486" s="3" t="s">
        <v>10</v>
      </c>
      <c r="H486" s="3">
        <v>29</v>
      </c>
      <c r="I486" s="5">
        <f t="shared" si="7"/>
        <v>46043</v>
      </c>
      <c r="J486" s="3">
        <f>IF(COUNTIFS($C$2:C486,C486,$I$2:I486,I486)=1,1,0)</f>
        <v>0</v>
      </c>
    </row>
    <row r="487" spans="1:10" x14ac:dyDescent="0.3">
      <c r="A487" s="3" t="s">
        <v>500</v>
      </c>
      <c r="B487" s="3">
        <v>222</v>
      </c>
      <c r="C487" s="3">
        <v>12</v>
      </c>
      <c r="D487" s="4">
        <v>46034.724999999999</v>
      </c>
      <c r="E487" s="3">
        <v>499</v>
      </c>
      <c r="F487" s="3" t="s">
        <v>9</v>
      </c>
      <c r="G487" s="3" t="s">
        <v>25</v>
      </c>
      <c r="H487" s="3">
        <v>87</v>
      </c>
      <c r="I487" s="5">
        <f t="shared" si="7"/>
        <v>46034</v>
      </c>
      <c r="J487" s="3">
        <f>IF(COUNTIFS($C$2:C487,C487,$I$2:I487,I487)=1,1,0)</f>
        <v>0</v>
      </c>
    </row>
    <row r="488" spans="1:10" x14ac:dyDescent="0.3">
      <c r="A488" s="3" t="s">
        <v>501</v>
      </c>
      <c r="B488" s="3">
        <v>44</v>
      </c>
      <c r="C488" s="3">
        <v>40</v>
      </c>
      <c r="D488" s="4">
        <v>46041.89166666667</v>
      </c>
      <c r="E488" s="3">
        <v>499</v>
      </c>
      <c r="F488" s="3" t="s">
        <v>12</v>
      </c>
      <c r="G488" s="3" t="s">
        <v>10</v>
      </c>
      <c r="H488" s="3">
        <v>37</v>
      </c>
      <c r="I488" s="5">
        <f t="shared" si="7"/>
        <v>46041</v>
      </c>
      <c r="J488" s="3">
        <f>IF(COUNTIFS($C$2:C488,C488,$I$2:I488,I488)=1,1,0)</f>
        <v>0</v>
      </c>
    </row>
    <row r="489" spans="1:10" x14ac:dyDescent="0.3">
      <c r="A489" s="3" t="s">
        <v>502</v>
      </c>
      <c r="B489" s="3">
        <v>38</v>
      </c>
      <c r="C489" s="3">
        <v>6</v>
      </c>
      <c r="D489" s="4">
        <v>46048.322916666664</v>
      </c>
      <c r="E489" s="3">
        <v>49</v>
      </c>
      <c r="F489" s="3" t="s">
        <v>9</v>
      </c>
      <c r="G489" s="3" t="s">
        <v>10</v>
      </c>
      <c r="H489" s="3">
        <v>34</v>
      </c>
      <c r="I489" s="5">
        <f t="shared" si="7"/>
        <v>46048</v>
      </c>
      <c r="J489" s="3">
        <f>IF(COUNTIFS($C$2:C489,C489,$I$2:I489,I489)=1,1,0)</f>
        <v>0</v>
      </c>
    </row>
    <row r="490" spans="1:10" x14ac:dyDescent="0.3">
      <c r="A490" s="3" t="s">
        <v>503</v>
      </c>
      <c r="B490" s="3">
        <v>325</v>
      </c>
      <c r="C490" s="3">
        <v>10</v>
      </c>
      <c r="D490" s="4">
        <v>46027.53125</v>
      </c>
      <c r="E490" s="3">
        <v>49</v>
      </c>
      <c r="F490" s="3" t="s">
        <v>15</v>
      </c>
      <c r="G490" s="3" t="s">
        <v>38</v>
      </c>
      <c r="H490" s="3">
        <v>94</v>
      </c>
      <c r="I490" s="5">
        <f t="shared" si="7"/>
        <v>46027</v>
      </c>
      <c r="J490" s="3">
        <f>IF(COUNTIFS($C$2:C490,C490,$I$2:I490,I490)=1,1,0)</f>
        <v>1</v>
      </c>
    </row>
    <row r="491" spans="1:10" x14ac:dyDescent="0.3">
      <c r="A491" s="3" t="s">
        <v>504</v>
      </c>
      <c r="B491" s="3">
        <v>55</v>
      </c>
      <c r="C491" s="3">
        <v>6</v>
      </c>
      <c r="D491" s="4">
        <v>46035.432638888888</v>
      </c>
      <c r="E491" s="3">
        <v>1499</v>
      </c>
      <c r="F491" s="3" t="s">
        <v>24</v>
      </c>
      <c r="G491" s="3" t="s">
        <v>10</v>
      </c>
      <c r="H491" s="3">
        <v>0</v>
      </c>
      <c r="I491" s="5">
        <f t="shared" si="7"/>
        <v>46035</v>
      </c>
      <c r="J491" s="3">
        <f>IF(COUNTIFS($C$2:C491,C491,$I$2:I491,I491)=1,1,0)</f>
        <v>1</v>
      </c>
    </row>
    <row r="492" spans="1:10" x14ac:dyDescent="0.3">
      <c r="A492" s="3" t="s">
        <v>505</v>
      </c>
      <c r="B492" s="3">
        <v>139</v>
      </c>
      <c r="C492" s="3">
        <v>7</v>
      </c>
      <c r="D492" s="4">
        <v>46032.599305555559</v>
      </c>
      <c r="E492" s="3">
        <v>499</v>
      </c>
      <c r="F492" s="3" t="s">
        <v>24</v>
      </c>
      <c r="G492" s="3" t="s">
        <v>10</v>
      </c>
      <c r="H492" s="3">
        <v>16</v>
      </c>
      <c r="I492" s="5">
        <f t="shared" si="7"/>
        <v>46032</v>
      </c>
      <c r="J492" s="3">
        <f>IF(COUNTIFS($C$2:C492,C492,$I$2:I492,I492)=1,1,0)</f>
        <v>1</v>
      </c>
    </row>
    <row r="493" spans="1:10" x14ac:dyDescent="0.3">
      <c r="A493" s="3" t="s">
        <v>506</v>
      </c>
      <c r="B493" s="3">
        <v>230</v>
      </c>
      <c r="C493" s="3">
        <v>36</v>
      </c>
      <c r="D493" s="4">
        <v>46025.227083333331</v>
      </c>
      <c r="E493" s="3">
        <v>99</v>
      </c>
      <c r="F493" s="3" t="s">
        <v>9</v>
      </c>
      <c r="G493" s="3" t="s">
        <v>10</v>
      </c>
      <c r="H493" s="3">
        <v>71</v>
      </c>
      <c r="I493" s="5">
        <f t="shared" si="7"/>
        <v>46025</v>
      </c>
      <c r="J493" s="3">
        <f>IF(COUNTIFS($C$2:C493,C493,$I$2:I493,I493)=1,1,0)</f>
        <v>0</v>
      </c>
    </row>
    <row r="494" spans="1:10" x14ac:dyDescent="0.3">
      <c r="A494" s="3" t="s">
        <v>507</v>
      </c>
      <c r="B494" s="3">
        <v>14</v>
      </c>
      <c r="C494" s="3">
        <v>6</v>
      </c>
      <c r="D494" s="4">
        <v>46039.54583333333</v>
      </c>
      <c r="E494" s="3">
        <v>799</v>
      </c>
      <c r="F494" s="3" t="s">
        <v>24</v>
      </c>
      <c r="G494" s="3" t="s">
        <v>10</v>
      </c>
      <c r="H494" s="3">
        <v>45</v>
      </c>
      <c r="I494" s="5">
        <f t="shared" si="7"/>
        <v>46039</v>
      </c>
      <c r="J494" s="3">
        <f>IF(COUNTIFS($C$2:C494,C494,$I$2:I494,I494)=1,1,0)</f>
        <v>1</v>
      </c>
    </row>
    <row r="495" spans="1:10" x14ac:dyDescent="0.3">
      <c r="A495" s="3" t="s">
        <v>508</v>
      </c>
      <c r="B495" s="3">
        <v>307</v>
      </c>
      <c r="C495" s="3">
        <v>21</v>
      </c>
      <c r="D495" s="4">
        <v>46040.109722222223</v>
      </c>
      <c r="E495" s="3">
        <v>799</v>
      </c>
      <c r="F495" s="3" t="s">
        <v>12</v>
      </c>
      <c r="G495" s="3" t="s">
        <v>10</v>
      </c>
      <c r="H495" s="3">
        <v>49</v>
      </c>
      <c r="I495" s="5">
        <f t="shared" si="7"/>
        <v>46040</v>
      </c>
      <c r="J495" s="3">
        <f>IF(COUNTIFS($C$2:C495,C495,$I$2:I495,I495)=1,1,0)</f>
        <v>1</v>
      </c>
    </row>
    <row r="496" spans="1:10" x14ac:dyDescent="0.3">
      <c r="A496" s="3" t="s">
        <v>509</v>
      </c>
      <c r="B496" s="3">
        <v>199</v>
      </c>
      <c r="C496" s="3">
        <v>6</v>
      </c>
      <c r="D496" s="4">
        <v>46023.393055555556</v>
      </c>
      <c r="E496" s="3">
        <v>49</v>
      </c>
      <c r="F496" s="3" t="s">
        <v>12</v>
      </c>
      <c r="G496" s="3" t="s">
        <v>10</v>
      </c>
      <c r="H496" s="3">
        <v>92</v>
      </c>
      <c r="I496" s="5">
        <f t="shared" si="7"/>
        <v>46023</v>
      </c>
      <c r="J496" s="3">
        <f>IF(COUNTIFS($C$2:C496,C496,$I$2:I496,I496)=1,1,0)</f>
        <v>1</v>
      </c>
    </row>
    <row r="497" spans="1:10" x14ac:dyDescent="0.3">
      <c r="A497" s="3" t="s">
        <v>510</v>
      </c>
      <c r="B497" s="3">
        <v>125</v>
      </c>
      <c r="C497" s="3">
        <v>37</v>
      </c>
      <c r="D497" s="4">
        <v>46051.747916666667</v>
      </c>
      <c r="E497" s="3">
        <v>149</v>
      </c>
      <c r="F497" s="3" t="s">
        <v>9</v>
      </c>
      <c r="G497" s="3" t="s">
        <v>10</v>
      </c>
      <c r="H497" s="3">
        <v>66</v>
      </c>
      <c r="I497" s="5">
        <f t="shared" si="7"/>
        <v>46051</v>
      </c>
      <c r="J497" s="3">
        <f>IF(COUNTIFS($C$2:C497,C497,$I$2:I497,I497)=1,1,0)</f>
        <v>1</v>
      </c>
    </row>
    <row r="498" spans="1:10" x14ac:dyDescent="0.3">
      <c r="A498" s="3" t="s">
        <v>511</v>
      </c>
      <c r="B498" s="3">
        <v>87</v>
      </c>
      <c r="C498" s="3">
        <v>9</v>
      </c>
      <c r="D498" s="4">
        <v>46028.89166666667</v>
      </c>
      <c r="E498" s="3">
        <v>149</v>
      </c>
      <c r="F498" s="3" t="s">
        <v>12</v>
      </c>
      <c r="G498" s="3" t="s">
        <v>10</v>
      </c>
      <c r="H498" s="3">
        <v>34</v>
      </c>
      <c r="I498" s="5">
        <f t="shared" si="7"/>
        <v>46028</v>
      </c>
      <c r="J498" s="3">
        <f>IF(COUNTIFS($C$2:C498,C498,$I$2:I498,I498)=1,1,0)</f>
        <v>1</v>
      </c>
    </row>
    <row r="499" spans="1:10" x14ac:dyDescent="0.3">
      <c r="A499" s="3" t="s">
        <v>512</v>
      </c>
      <c r="B499" s="3">
        <v>75</v>
      </c>
      <c r="C499" s="3">
        <v>5</v>
      </c>
      <c r="D499" s="4">
        <v>46032.354861111111</v>
      </c>
      <c r="E499" s="3">
        <v>99</v>
      </c>
      <c r="F499" s="3" t="s">
        <v>12</v>
      </c>
      <c r="G499" s="3" t="s">
        <v>10</v>
      </c>
      <c r="H499" s="3">
        <v>21</v>
      </c>
      <c r="I499" s="5">
        <f t="shared" si="7"/>
        <v>46032</v>
      </c>
      <c r="J499" s="3">
        <f>IF(COUNTIFS($C$2:C499,C499,$I$2:I499,I499)=1,1,0)</f>
        <v>1</v>
      </c>
    </row>
    <row r="500" spans="1:10" x14ac:dyDescent="0.3">
      <c r="A500" s="3" t="s">
        <v>513</v>
      </c>
      <c r="B500" s="3">
        <v>154</v>
      </c>
      <c r="C500" s="3">
        <v>31</v>
      </c>
      <c r="D500" s="4">
        <v>46036.351388888892</v>
      </c>
      <c r="E500" s="3">
        <v>499</v>
      </c>
      <c r="F500" s="3" t="s">
        <v>9</v>
      </c>
      <c r="G500" s="3" t="s">
        <v>10</v>
      </c>
      <c r="H500" s="3">
        <v>100</v>
      </c>
      <c r="I500" s="5">
        <f t="shared" si="7"/>
        <v>46036</v>
      </c>
      <c r="J500" s="3">
        <f>IF(COUNTIFS($C$2:C500,C500,$I$2:I500,I500)=1,1,0)</f>
        <v>1</v>
      </c>
    </row>
    <row r="501" spans="1:10" x14ac:dyDescent="0.3">
      <c r="A501" s="3" t="s">
        <v>514</v>
      </c>
      <c r="B501" s="3">
        <v>127</v>
      </c>
      <c r="C501" s="3">
        <v>32</v>
      </c>
      <c r="D501" s="4">
        <v>46025.469444444447</v>
      </c>
      <c r="E501" s="3">
        <v>149</v>
      </c>
      <c r="F501" s="3" t="s">
        <v>24</v>
      </c>
      <c r="G501" s="3" t="s">
        <v>10</v>
      </c>
      <c r="H501" s="3">
        <v>76</v>
      </c>
      <c r="I501" s="5">
        <f t="shared" si="7"/>
        <v>46025</v>
      </c>
      <c r="J501" s="3">
        <f>IF(COUNTIFS($C$2:C501,C501,$I$2:I501,I501)=1,1,0)</f>
        <v>1</v>
      </c>
    </row>
    <row r="502" spans="1:10" x14ac:dyDescent="0.3">
      <c r="A502" s="3" t="s">
        <v>515</v>
      </c>
      <c r="B502" s="3">
        <v>351</v>
      </c>
      <c r="C502" s="3">
        <v>7</v>
      </c>
      <c r="D502" s="4">
        <v>46052.25</v>
      </c>
      <c r="E502" s="3">
        <v>1999</v>
      </c>
      <c r="F502" s="3" t="s">
        <v>24</v>
      </c>
      <c r="G502" s="3" t="s">
        <v>38</v>
      </c>
      <c r="H502" s="3">
        <v>79</v>
      </c>
      <c r="I502" s="5">
        <f t="shared" si="7"/>
        <v>46052</v>
      </c>
      <c r="J502" s="3">
        <f>IF(COUNTIFS($C$2:C502,C502,$I$2:I502,I502)=1,1,0)</f>
        <v>1</v>
      </c>
    </row>
    <row r="503" spans="1:10" x14ac:dyDescent="0.3">
      <c r="A503" s="3" t="s">
        <v>516</v>
      </c>
      <c r="B503" s="3">
        <v>352</v>
      </c>
      <c r="C503" s="3">
        <v>40</v>
      </c>
      <c r="D503" s="4">
        <v>46033.5</v>
      </c>
      <c r="E503" s="3">
        <v>4999</v>
      </c>
      <c r="F503" s="3" t="s">
        <v>24</v>
      </c>
      <c r="G503" s="3" t="s">
        <v>38</v>
      </c>
      <c r="H503" s="3">
        <v>95</v>
      </c>
      <c r="I503" s="5">
        <f t="shared" si="7"/>
        <v>46033</v>
      </c>
      <c r="J503" s="3">
        <f>IF(COUNTIFS($C$2:C503,C503,$I$2:I503,I503)=1,1,0)</f>
        <v>1</v>
      </c>
    </row>
    <row r="504" spans="1:10" x14ac:dyDescent="0.3">
      <c r="A504" s="3" t="s">
        <v>517</v>
      </c>
      <c r="B504" s="3">
        <v>353</v>
      </c>
      <c r="C504" s="3">
        <v>28</v>
      </c>
      <c r="D504" s="4">
        <v>46043.583333333336</v>
      </c>
      <c r="E504" s="3">
        <v>1999</v>
      </c>
      <c r="F504" s="3" t="s">
        <v>24</v>
      </c>
      <c r="G504" s="3" t="s">
        <v>38</v>
      </c>
      <c r="H504" s="3">
        <v>79</v>
      </c>
      <c r="I504" s="5">
        <f t="shared" si="7"/>
        <v>46043</v>
      </c>
      <c r="J504" s="3">
        <f>IF(COUNTIFS($C$2:C504,C504,$I$2:I504,I504)=1,1,0)</f>
        <v>1</v>
      </c>
    </row>
    <row r="505" spans="1:10" x14ac:dyDescent="0.3">
      <c r="A505" s="3" t="s">
        <v>518</v>
      </c>
      <c r="B505" s="3">
        <v>354</v>
      </c>
      <c r="C505" s="3">
        <v>13</v>
      </c>
      <c r="D505" s="4">
        <v>46043.791666666664</v>
      </c>
      <c r="E505" s="3">
        <v>4999</v>
      </c>
      <c r="F505" s="3" t="s">
        <v>24</v>
      </c>
      <c r="G505" s="3" t="s">
        <v>38</v>
      </c>
      <c r="H505" s="3">
        <v>80</v>
      </c>
      <c r="I505" s="5">
        <f t="shared" si="7"/>
        <v>46043</v>
      </c>
      <c r="J505" s="3">
        <f>IF(COUNTIFS($C$2:C505,C505,$I$2:I505,I505)=1,1,0)</f>
        <v>1</v>
      </c>
    </row>
    <row r="506" spans="1:10" x14ac:dyDescent="0.3">
      <c r="A506" s="3" t="s">
        <v>519</v>
      </c>
      <c r="B506" s="3">
        <v>355</v>
      </c>
      <c r="C506" s="3">
        <v>19</v>
      </c>
      <c r="D506" s="4">
        <v>46038.5</v>
      </c>
      <c r="E506" s="3">
        <v>4999</v>
      </c>
      <c r="F506" s="3" t="s">
        <v>24</v>
      </c>
      <c r="G506" s="3" t="s">
        <v>38</v>
      </c>
      <c r="H506" s="3">
        <v>100</v>
      </c>
      <c r="I506" s="5">
        <f t="shared" si="7"/>
        <v>46038</v>
      </c>
      <c r="J506" s="3">
        <f>IF(COUNTIFS($C$2:C506,C506,$I$2:I506,I506)=1,1,0)</f>
        <v>1</v>
      </c>
    </row>
    <row r="507" spans="1:10" x14ac:dyDescent="0.3">
      <c r="A507" s="3" t="s">
        <v>520</v>
      </c>
      <c r="B507" s="3">
        <v>356</v>
      </c>
      <c r="C507" s="3">
        <v>25</v>
      </c>
      <c r="D507" s="4">
        <v>46051.291666666664</v>
      </c>
      <c r="E507" s="3">
        <v>2999</v>
      </c>
      <c r="F507" s="3" t="s">
        <v>24</v>
      </c>
      <c r="G507" s="3" t="s">
        <v>38</v>
      </c>
      <c r="H507" s="3">
        <v>96</v>
      </c>
      <c r="I507" s="5">
        <f t="shared" si="7"/>
        <v>46051</v>
      </c>
      <c r="J507" s="3">
        <f>IF(COUNTIFS($C$2:C507,C507,$I$2:I507,I507)=1,1,0)</f>
        <v>0</v>
      </c>
    </row>
    <row r="508" spans="1:10" x14ac:dyDescent="0.3">
      <c r="A508" s="3" t="s">
        <v>521</v>
      </c>
      <c r="B508" s="3">
        <v>357</v>
      </c>
      <c r="C508" s="3">
        <v>37</v>
      </c>
      <c r="D508" s="4">
        <v>46045.458333333336</v>
      </c>
      <c r="E508" s="3">
        <v>1999</v>
      </c>
      <c r="F508" s="3" t="s">
        <v>24</v>
      </c>
      <c r="G508" s="3" t="s">
        <v>38</v>
      </c>
      <c r="H508" s="3">
        <v>88</v>
      </c>
      <c r="I508" s="5">
        <f t="shared" si="7"/>
        <v>46045</v>
      </c>
      <c r="J508" s="3">
        <f>IF(COUNTIFS($C$2:C508,C508,$I$2:I508,I508)=1,1,0)</f>
        <v>1</v>
      </c>
    </row>
    <row r="509" spans="1:10" x14ac:dyDescent="0.3">
      <c r="A509" s="3" t="s">
        <v>522</v>
      </c>
      <c r="B509" s="3">
        <v>358</v>
      </c>
      <c r="C509" s="3">
        <v>36</v>
      </c>
      <c r="D509" s="4">
        <v>46050.208333333336</v>
      </c>
      <c r="E509" s="3">
        <v>999</v>
      </c>
      <c r="F509" s="3" t="s">
        <v>24</v>
      </c>
      <c r="G509" s="3" t="s">
        <v>38</v>
      </c>
      <c r="H509" s="3">
        <v>100</v>
      </c>
      <c r="I509" s="5">
        <f t="shared" si="7"/>
        <v>46050</v>
      </c>
      <c r="J509" s="3">
        <f>IF(COUNTIFS($C$2:C509,C509,$I$2:I509,I509)=1,1,0)</f>
        <v>1</v>
      </c>
    </row>
    <row r="510" spans="1:10" x14ac:dyDescent="0.3">
      <c r="A510" s="3" t="s">
        <v>523</v>
      </c>
      <c r="B510" s="3">
        <v>359</v>
      </c>
      <c r="C510" s="3">
        <v>29</v>
      </c>
      <c r="D510" s="4">
        <v>46047.916666666664</v>
      </c>
      <c r="E510" s="3">
        <v>2999</v>
      </c>
      <c r="F510" s="3" t="s">
        <v>24</v>
      </c>
      <c r="G510" s="3" t="s">
        <v>38</v>
      </c>
      <c r="H510" s="3">
        <v>96</v>
      </c>
      <c r="I510" s="5">
        <f t="shared" si="7"/>
        <v>46047</v>
      </c>
      <c r="J510" s="3">
        <f>IF(COUNTIFS($C$2:C510,C510,$I$2:I510,I510)=1,1,0)</f>
        <v>0</v>
      </c>
    </row>
    <row r="511" spans="1:10" x14ac:dyDescent="0.3">
      <c r="A511" s="3" t="s">
        <v>524</v>
      </c>
      <c r="B511" s="3">
        <v>360</v>
      </c>
      <c r="C511" s="3">
        <v>32</v>
      </c>
      <c r="D511" s="4">
        <v>46035.541666666664</v>
      </c>
      <c r="E511" s="3">
        <v>1999</v>
      </c>
      <c r="F511" s="3" t="s">
        <v>24</v>
      </c>
      <c r="G511" s="3" t="s">
        <v>38</v>
      </c>
      <c r="H511" s="3">
        <v>90</v>
      </c>
      <c r="I511" s="5">
        <f t="shared" si="7"/>
        <v>46035</v>
      </c>
      <c r="J511" s="3">
        <f>IF(COUNTIFS($C$2:C511,C511,$I$2:I511,I511)=1,1,0)</f>
        <v>1</v>
      </c>
    </row>
    <row r="512" spans="1:10" x14ac:dyDescent="0.3">
      <c r="A512" s="3" t="s">
        <v>525</v>
      </c>
      <c r="B512" s="3">
        <v>361</v>
      </c>
      <c r="C512" s="3">
        <v>10</v>
      </c>
      <c r="D512" s="4">
        <v>46042.291666666664</v>
      </c>
      <c r="E512" s="3">
        <v>4999</v>
      </c>
      <c r="F512" s="3" t="s">
        <v>24</v>
      </c>
      <c r="G512" s="3" t="s">
        <v>38</v>
      </c>
      <c r="H512" s="3">
        <v>95</v>
      </c>
      <c r="I512" s="5">
        <f t="shared" si="7"/>
        <v>46042</v>
      </c>
      <c r="J512" s="3">
        <f>IF(COUNTIFS($C$2:C512,C512,$I$2:I512,I512)=1,1,0)</f>
        <v>1</v>
      </c>
    </row>
    <row r="513" spans="1:10" x14ac:dyDescent="0.3">
      <c r="A513" s="3" t="s">
        <v>526</v>
      </c>
      <c r="B513" s="3">
        <v>362</v>
      </c>
      <c r="C513" s="3">
        <v>39</v>
      </c>
      <c r="D513" s="4">
        <v>46045.083333333336</v>
      </c>
      <c r="E513" s="3">
        <v>4999</v>
      </c>
      <c r="F513" s="3" t="s">
        <v>24</v>
      </c>
      <c r="G513" s="3" t="s">
        <v>38</v>
      </c>
      <c r="H513" s="3">
        <v>88</v>
      </c>
      <c r="I513" s="5">
        <f t="shared" si="7"/>
        <v>46045</v>
      </c>
      <c r="J513" s="3">
        <f>IF(COUNTIFS($C$2:C513,C513,$I$2:I513,I513)=1,1,0)</f>
        <v>1</v>
      </c>
    </row>
    <row r="514" spans="1:10" x14ac:dyDescent="0.3">
      <c r="A514" s="3" t="s">
        <v>527</v>
      </c>
      <c r="B514" s="3">
        <v>363</v>
      </c>
      <c r="C514" s="3">
        <v>27</v>
      </c>
      <c r="D514" s="4">
        <v>46045.708333333336</v>
      </c>
      <c r="E514" s="3">
        <v>999</v>
      </c>
      <c r="F514" s="3" t="s">
        <v>24</v>
      </c>
      <c r="G514" s="3" t="s">
        <v>38</v>
      </c>
      <c r="H514" s="3">
        <v>95</v>
      </c>
      <c r="I514" s="5">
        <f t="shared" si="7"/>
        <v>46045</v>
      </c>
      <c r="J514" s="3">
        <f>IF(COUNTIFS($C$2:C514,C514,$I$2:I514,I514)=1,1,0)</f>
        <v>0</v>
      </c>
    </row>
    <row r="515" spans="1:10" x14ac:dyDescent="0.3">
      <c r="A515" s="3" t="s">
        <v>528</v>
      </c>
      <c r="B515" s="3">
        <v>364</v>
      </c>
      <c r="C515" s="3">
        <v>39</v>
      </c>
      <c r="D515" s="4">
        <v>46044.916666666664</v>
      </c>
      <c r="E515" s="3">
        <v>999</v>
      </c>
      <c r="F515" s="3" t="s">
        <v>24</v>
      </c>
      <c r="G515" s="3" t="s">
        <v>38</v>
      </c>
      <c r="H515" s="3">
        <v>73</v>
      </c>
      <c r="I515" s="5">
        <f t="shared" ref="I515:I548" si="8">INT(D515)</f>
        <v>46044</v>
      </c>
      <c r="J515" s="3">
        <f>IF(COUNTIFS($C$2:C515,C515,$I$2:I515,I515)=1,1,0)</f>
        <v>0</v>
      </c>
    </row>
    <row r="516" spans="1:10" x14ac:dyDescent="0.3">
      <c r="A516" s="3" t="s">
        <v>529</v>
      </c>
      <c r="B516" s="3">
        <v>365</v>
      </c>
      <c r="C516" s="3">
        <v>23</v>
      </c>
      <c r="D516" s="4">
        <v>46040.875</v>
      </c>
      <c r="E516" s="3">
        <v>1999</v>
      </c>
      <c r="F516" s="3" t="s">
        <v>24</v>
      </c>
      <c r="G516" s="3" t="s">
        <v>38</v>
      </c>
      <c r="H516" s="3">
        <v>90</v>
      </c>
      <c r="I516" s="5">
        <f t="shared" si="8"/>
        <v>46040</v>
      </c>
      <c r="J516" s="3">
        <f>IF(COUNTIFS($C$2:C516,C516,$I$2:I516,I516)=1,1,0)</f>
        <v>1</v>
      </c>
    </row>
    <row r="517" spans="1:10" x14ac:dyDescent="0.3">
      <c r="A517" s="3" t="s">
        <v>530</v>
      </c>
      <c r="B517" s="3">
        <v>314</v>
      </c>
      <c r="C517" s="3">
        <v>26</v>
      </c>
      <c r="D517" s="4">
        <v>46024.75</v>
      </c>
      <c r="E517" s="3">
        <v>399</v>
      </c>
      <c r="F517" s="3" t="s">
        <v>24</v>
      </c>
      <c r="G517" s="3" t="s">
        <v>25</v>
      </c>
      <c r="H517" s="3">
        <v>87</v>
      </c>
      <c r="I517" s="5">
        <f t="shared" si="8"/>
        <v>46024</v>
      </c>
      <c r="J517" s="3">
        <f>IF(COUNTIFS($C$2:C517,C517,$I$2:I517,I517)=1,1,0)</f>
        <v>1</v>
      </c>
    </row>
    <row r="518" spans="1:10" x14ac:dyDescent="0.3">
      <c r="A518" s="3" t="s">
        <v>531</v>
      </c>
      <c r="B518" s="3">
        <v>314</v>
      </c>
      <c r="C518" s="3">
        <v>7</v>
      </c>
      <c r="D518" s="4">
        <v>46024.750694444447</v>
      </c>
      <c r="E518" s="3">
        <v>299</v>
      </c>
      <c r="F518" s="3" t="s">
        <v>24</v>
      </c>
      <c r="G518" s="3" t="s">
        <v>25</v>
      </c>
      <c r="H518" s="3">
        <v>66</v>
      </c>
      <c r="I518" s="5">
        <f t="shared" si="8"/>
        <v>46024</v>
      </c>
      <c r="J518" s="3">
        <f>IF(COUNTIFS($C$2:C518,C518,$I$2:I518,I518)=1,1,0)</f>
        <v>0</v>
      </c>
    </row>
    <row r="519" spans="1:10" x14ac:dyDescent="0.3">
      <c r="A519" s="3" t="s">
        <v>532</v>
      </c>
      <c r="B519" s="3">
        <v>314</v>
      </c>
      <c r="C519" s="3">
        <v>17</v>
      </c>
      <c r="D519" s="4">
        <v>46024.751388888886</v>
      </c>
      <c r="E519" s="3">
        <v>299</v>
      </c>
      <c r="F519" s="3" t="s">
        <v>24</v>
      </c>
      <c r="G519" s="3" t="s">
        <v>25</v>
      </c>
      <c r="H519" s="3">
        <v>92</v>
      </c>
      <c r="I519" s="5">
        <f t="shared" si="8"/>
        <v>46024</v>
      </c>
      <c r="J519" s="3">
        <f>IF(COUNTIFS($C$2:C519,C519,$I$2:I519,I519)=1,1,0)</f>
        <v>1</v>
      </c>
    </row>
    <row r="520" spans="1:10" x14ac:dyDescent="0.3">
      <c r="A520" s="3" t="s">
        <v>533</v>
      </c>
      <c r="B520" s="3">
        <v>314</v>
      </c>
      <c r="C520" s="3">
        <v>34</v>
      </c>
      <c r="D520" s="4">
        <v>46024.752083333333</v>
      </c>
      <c r="E520" s="3">
        <v>499</v>
      </c>
      <c r="F520" s="3" t="s">
        <v>24</v>
      </c>
      <c r="G520" s="3" t="s">
        <v>10</v>
      </c>
      <c r="H520" s="3">
        <v>74</v>
      </c>
      <c r="I520" s="5">
        <f t="shared" si="8"/>
        <v>46024</v>
      </c>
      <c r="J520" s="3">
        <f>IF(COUNTIFS($C$2:C520,C520,$I$2:I520,I520)=1,1,0)</f>
        <v>0</v>
      </c>
    </row>
    <row r="521" spans="1:10" x14ac:dyDescent="0.3">
      <c r="A521" s="3" t="s">
        <v>534</v>
      </c>
      <c r="B521" s="3">
        <v>229</v>
      </c>
      <c r="C521" s="3">
        <v>30</v>
      </c>
      <c r="D521" s="4">
        <v>46034.5</v>
      </c>
      <c r="E521" s="3">
        <v>499</v>
      </c>
      <c r="F521" s="3" t="s">
        <v>24</v>
      </c>
      <c r="G521" s="3" t="s">
        <v>25</v>
      </c>
      <c r="H521" s="3">
        <v>92</v>
      </c>
      <c r="I521" s="5">
        <f t="shared" si="8"/>
        <v>46034</v>
      </c>
      <c r="J521" s="3">
        <f>IF(COUNTIFS($C$2:C521,C521,$I$2:I521,I521)=1,1,0)</f>
        <v>1</v>
      </c>
    </row>
    <row r="522" spans="1:10" x14ac:dyDescent="0.3">
      <c r="A522" s="3" t="s">
        <v>535</v>
      </c>
      <c r="B522" s="3">
        <v>229</v>
      </c>
      <c r="C522" s="3">
        <v>10</v>
      </c>
      <c r="D522" s="4">
        <v>46034.500694444447</v>
      </c>
      <c r="E522" s="3">
        <v>399</v>
      </c>
      <c r="F522" s="3" t="s">
        <v>24</v>
      </c>
      <c r="G522" s="3" t="s">
        <v>25</v>
      </c>
      <c r="H522" s="3">
        <v>61</v>
      </c>
      <c r="I522" s="5">
        <f t="shared" si="8"/>
        <v>46034</v>
      </c>
      <c r="J522" s="3">
        <f>IF(COUNTIFS($C$2:C522,C522,$I$2:I522,I522)=1,1,0)</f>
        <v>1</v>
      </c>
    </row>
    <row r="523" spans="1:10" x14ac:dyDescent="0.3">
      <c r="A523" s="3" t="s">
        <v>536</v>
      </c>
      <c r="B523" s="3">
        <v>229</v>
      </c>
      <c r="C523" s="3">
        <v>31</v>
      </c>
      <c r="D523" s="4">
        <v>46034.501388888886</v>
      </c>
      <c r="E523" s="3">
        <v>299</v>
      </c>
      <c r="F523" s="3" t="s">
        <v>24</v>
      </c>
      <c r="G523" s="3" t="s">
        <v>25</v>
      </c>
      <c r="H523" s="3">
        <v>78</v>
      </c>
      <c r="I523" s="5">
        <f t="shared" si="8"/>
        <v>46034</v>
      </c>
      <c r="J523" s="3">
        <f>IF(COUNTIFS($C$2:C523,C523,$I$2:I523,I523)=1,1,0)</f>
        <v>1</v>
      </c>
    </row>
    <row r="524" spans="1:10" x14ac:dyDescent="0.3">
      <c r="A524" s="3" t="s">
        <v>537</v>
      </c>
      <c r="B524" s="3">
        <v>229</v>
      </c>
      <c r="C524" s="3">
        <v>27</v>
      </c>
      <c r="D524" s="4">
        <v>46034.502083333333</v>
      </c>
      <c r="E524" s="3">
        <v>299</v>
      </c>
      <c r="F524" s="3" t="s">
        <v>24</v>
      </c>
      <c r="G524" s="3" t="s">
        <v>10</v>
      </c>
      <c r="H524" s="3">
        <v>67</v>
      </c>
      <c r="I524" s="5">
        <f t="shared" si="8"/>
        <v>46034</v>
      </c>
      <c r="J524" s="3">
        <f>IF(COUNTIFS($C$2:C524,C524,$I$2:I524,I524)=1,1,0)</f>
        <v>1</v>
      </c>
    </row>
    <row r="525" spans="1:10" x14ac:dyDescent="0.3">
      <c r="A525" s="3" t="s">
        <v>538</v>
      </c>
      <c r="B525" s="3">
        <v>73</v>
      </c>
      <c r="C525" s="3">
        <v>22</v>
      </c>
      <c r="D525" s="4">
        <v>46034.375</v>
      </c>
      <c r="E525" s="3">
        <v>399</v>
      </c>
      <c r="F525" s="3" t="s">
        <v>24</v>
      </c>
      <c r="G525" s="3" t="s">
        <v>25</v>
      </c>
      <c r="H525" s="3">
        <v>73</v>
      </c>
      <c r="I525" s="5">
        <f t="shared" si="8"/>
        <v>46034</v>
      </c>
      <c r="J525" s="3">
        <f>IF(COUNTIFS($C$2:C525,C525,$I$2:I525,I525)=1,1,0)</f>
        <v>0</v>
      </c>
    </row>
    <row r="526" spans="1:10" x14ac:dyDescent="0.3">
      <c r="A526" s="3" t="s">
        <v>539</v>
      </c>
      <c r="B526" s="3">
        <v>73</v>
      </c>
      <c r="C526" s="3">
        <v>34</v>
      </c>
      <c r="D526" s="4">
        <v>46034.375694444447</v>
      </c>
      <c r="E526" s="3">
        <v>399</v>
      </c>
      <c r="F526" s="3" t="s">
        <v>24</v>
      </c>
      <c r="G526" s="3" t="s">
        <v>25</v>
      </c>
      <c r="H526" s="3">
        <v>82</v>
      </c>
      <c r="I526" s="5">
        <f t="shared" si="8"/>
        <v>46034</v>
      </c>
      <c r="J526" s="3">
        <f>IF(COUNTIFS($C$2:C526,C526,$I$2:I526,I526)=1,1,0)</f>
        <v>1</v>
      </c>
    </row>
    <row r="527" spans="1:10" x14ac:dyDescent="0.3">
      <c r="A527" s="3" t="s">
        <v>540</v>
      </c>
      <c r="B527" s="3">
        <v>73</v>
      </c>
      <c r="C527" s="3">
        <v>31</v>
      </c>
      <c r="D527" s="4">
        <v>46034.376388888886</v>
      </c>
      <c r="E527" s="3">
        <v>299</v>
      </c>
      <c r="F527" s="3" t="s">
        <v>24</v>
      </c>
      <c r="G527" s="3" t="s">
        <v>25</v>
      </c>
      <c r="H527" s="3">
        <v>88</v>
      </c>
      <c r="I527" s="5">
        <f t="shared" si="8"/>
        <v>46034</v>
      </c>
      <c r="J527" s="3">
        <f>IF(COUNTIFS($C$2:C527,C527,$I$2:I527,I527)=1,1,0)</f>
        <v>0</v>
      </c>
    </row>
    <row r="528" spans="1:10" x14ac:dyDescent="0.3">
      <c r="A528" s="3" t="s">
        <v>541</v>
      </c>
      <c r="B528" s="3">
        <v>73</v>
      </c>
      <c r="C528" s="3">
        <v>29</v>
      </c>
      <c r="D528" s="4">
        <v>46034.377083333333</v>
      </c>
      <c r="E528" s="3">
        <v>399</v>
      </c>
      <c r="F528" s="3" t="s">
        <v>24</v>
      </c>
      <c r="G528" s="3" t="s">
        <v>10</v>
      </c>
      <c r="H528" s="3">
        <v>64</v>
      </c>
      <c r="I528" s="5">
        <f t="shared" si="8"/>
        <v>46034</v>
      </c>
      <c r="J528" s="3">
        <f>IF(COUNTIFS($C$2:C528,C528,$I$2:I528,I528)=1,1,0)</f>
        <v>1</v>
      </c>
    </row>
    <row r="529" spans="1:10" x14ac:dyDescent="0.3">
      <c r="A529" s="3" t="s">
        <v>542</v>
      </c>
      <c r="B529" s="3">
        <v>154</v>
      </c>
      <c r="C529" s="3">
        <v>8</v>
      </c>
      <c r="D529" s="4">
        <v>46024.916666666664</v>
      </c>
      <c r="E529" s="3">
        <v>299</v>
      </c>
      <c r="F529" s="3" t="s">
        <v>24</v>
      </c>
      <c r="G529" s="3" t="s">
        <v>25</v>
      </c>
      <c r="H529" s="3">
        <v>81</v>
      </c>
      <c r="I529" s="5">
        <f t="shared" si="8"/>
        <v>46024</v>
      </c>
      <c r="J529" s="3">
        <f>IF(COUNTIFS($C$2:C529,C529,$I$2:I529,I529)=1,1,0)</f>
        <v>1</v>
      </c>
    </row>
    <row r="530" spans="1:10" x14ac:dyDescent="0.3">
      <c r="A530" s="3" t="s">
        <v>543</v>
      </c>
      <c r="B530" s="3">
        <v>154</v>
      </c>
      <c r="C530" s="3">
        <v>7</v>
      </c>
      <c r="D530" s="4">
        <v>46024.917361111111</v>
      </c>
      <c r="E530" s="3">
        <v>499</v>
      </c>
      <c r="F530" s="3" t="s">
        <v>24</v>
      </c>
      <c r="G530" s="3" t="s">
        <v>25</v>
      </c>
      <c r="H530" s="3">
        <v>70</v>
      </c>
      <c r="I530" s="5">
        <f t="shared" si="8"/>
        <v>46024</v>
      </c>
      <c r="J530" s="3">
        <f>IF(COUNTIFS($C$2:C530,C530,$I$2:I530,I530)=1,1,0)</f>
        <v>0</v>
      </c>
    </row>
    <row r="531" spans="1:10" x14ac:dyDescent="0.3">
      <c r="A531" s="3" t="s">
        <v>544</v>
      </c>
      <c r="B531" s="3">
        <v>154</v>
      </c>
      <c r="C531" s="3">
        <v>16</v>
      </c>
      <c r="D531" s="4">
        <v>46024.918055555558</v>
      </c>
      <c r="E531" s="3">
        <v>499</v>
      </c>
      <c r="F531" s="3" t="s">
        <v>24</v>
      </c>
      <c r="G531" s="3" t="s">
        <v>25</v>
      </c>
      <c r="H531" s="3">
        <v>71</v>
      </c>
      <c r="I531" s="5">
        <f t="shared" si="8"/>
        <v>46024</v>
      </c>
      <c r="J531" s="3">
        <f>IF(COUNTIFS($C$2:C531,C531,$I$2:I531,I531)=1,1,0)</f>
        <v>1</v>
      </c>
    </row>
    <row r="532" spans="1:10" x14ac:dyDescent="0.3">
      <c r="A532" s="3" t="s">
        <v>545</v>
      </c>
      <c r="B532" s="3">
        <v>154</v>
      </c>
      <c r="C532" s="3">
        <v>36</v>
      </c>
      <c r="D532" s="4">
        <v>46024.918749999997</v>
      </c>
      <c r="E532" s="3">
        <v>299</v>
      </c>
      <c r="F532" s="3" t="s">
        <v>24</v>
      </c>
      <c r="G532" s="3" t="s">
        <v>10</v>
      </c>
      <c r="H532" s="3">
        <v>81</v>
      </c>
      <c r="I532" s="5">
        <f t="shared" si="8"/>
        <v>46024</v>
      </c>
      <c r="J532" s="3">
        <f>IF(COUNTIFS($C$2:C532,C532,$I$2:I532,I532)=1,1,0)</f>
        <v>1</v>
      </c>
    </row>
    <row r="533" spans="1:10" x14ac:dyDescent="0.3">
      <c r="A533" s="3" t="s">
        <v>546</v>
      </c>
      <c r="B533" s="3">
        <v>287</v>
      </c>
      <c r="C533" s="3">
        <v>15</v>
      </c>
      <c r="D533" s="4">
        <v>46036.583333333336</v>
      </c>
      <c r="E533" s="3">
        <v>399</v>
      </c>
      <c r="F533" s="3" t="s">
        <v>24</v>
      </c>
      <c r="G533" s="3" t="s">
        <v>25</v>
      </c>
      <c r="H533" s="3">
        <v>71</v>
      </c>
      <c r="I533" s="5">
        <f t="shared" si="8"/>
        <v>46036</v>
      </c>
      <c r="J533" s="3">
        <f>IF(COUNTIFS($C$2:C533,C533,$I$2:I533,I533)=1,1,0)</f>
        <v>1</v>
      </c>
    </row>
    <row r="534" spans="1:10" x14ac:dyDescent="0.3">
      <c r="A534" s="3" t="s">
        <v>547</v>
      </c>
      <c r="B534" s="3">
        <v>287</v>
      </c>
      <c r="C534" s="3">
        <v>12</v>
      </c>
      <c r="D534" s="4">
        <v>46036.584027777775</v>
      </c>
      <c r="E534" s="3">
        <v>499</v>
      </c>
      <c r="F534" s="3" t="s">
        <v>24</v>
      </c>
      <c r="G534" s="3" t="s">
        <v>25</v>
      </c>
      <c r="H534" s="3">
        <v>87</v>
      </c>
      <c r="I534" s="5">
        <f t="shared" si="8"/>
        <v>46036</v>
      </c>
      <c r="J534" s="3">
        <f>IF(COUNTIFS($C$2:C534,C534,$I$2:I534,I534)=1,1,0)</f>
        <v>0</v>
      </c>
    </row>
    <row r="535" spans="1:10" x14ac:dyDescent="0.3">
      <c r="A535" s="3" t="s">
        <v>548</v>
      </c>
      <c r="B535" s="3">
        <v>287</v>
      </c>
      <c r="C535" s="3">
        <v>26</v>
      </c>
      <c r="D535" s="4">
        <v>46036.584722222222</v>
      </c>
      <c r="E535" s="3">
        <v>299</v>
      </c>
      <c r="F535" s="3" t="s">
        <v>24</v>
      </c>
      <c r="G535" s="3" t="s">
        <v>25</v>
      </c>
      <c r="H535" s="3">
        <v>72</v>
      </c>
      <c r="I535" s="5">
        <f t="shared" si="8"/>
        <v>46036</v>
      </c>
      <c r="J535" s="3">
        <f>IF(COUNTIFS($C$2:C535,C535,$I$2:I535,I535)=1,1,0)</f>
        <v>1</v>
      </c>
    </row>
    <row r="536" spans="1:10" x14ac:dyDescent="0.3">
      <c r="A536" s="3" t="s">
        <v>549</v>
      </c>
      <c r="B536" s="3">
        <v>287</v>
      </c>
      <c r="C536" s="3">
        <v>29</v>
      </c>
      <c r="D536" s="4">
        <v>46036.585416666669</v>
      </c>
      <c r="E536" s="3">
        <v>499</v>
      </c>
      <c r="F536" s="3" t="s">
        <v>24</v>
      </c>
      <c r="G536" s="3" t="s">
        <v>10</v>
      </c>
      <c r="H536" s="3">
        <v>87</v>
      </c>
      <c r="I536" s="5">
        <f t="shared" si="8"/>
        <v>46036</v>
      </c>
      <c r="J536" s="3">
        <f>IF(COUNTIFS($C$2:C536,C536,$I$2:I536,I536)=1,1,0)</f>
        <v>0</v>
      </c>
    </row>
    <row r="537" spans="1:10" x14ac:dyDescent="0.3">
      <c r="A537" s="3" t="s">
        <v>550</v>
      </c>
      <c r="B537" s="3">
        <v>200</v>
      </c>
      <c r="C537" s="3">
        <v>14</v>
      </c>
      <c r="D537" s="4">
        <v>46023.916666666664</v>
      </c>
      <c r="E537" s="3">
        <v>299</v>
      </c>
      <c r="F537" s="3" t="s">
        <v>24</v>
      </c>
      <c r="G537" s="3" t="s">
        <v>25</v>
      </c>
      <c r="H537" s="3">
        <v>77</v>
      </c>
      <c r="I537" s="5">
        <f t="shared" si="8"/>
        <v>46023</v>
      </c>
      <c r="J537" s="3">
        <f>IF(COUNTIFS($C$2:C537,C537,$I$2:I537,I537)=1,1,0)</f>
        <v>1</v>
      </c>
    </row>
    <row r="538" spans="1:10" x14ac:dyDescent="0.3">
      <c r="A538" s="3" t="s">
        <v>551</v>
      </c>
      <c r="B538" s="3">
        <v>200</v>
      </c>
      <c r="C538" s="3">
        <v>5</v>
      </c>
      <c r="D538" s="4">
        <v>46023.917361111111</v>
      </c>
      <c r="E538" s="3">
        <v>499</v>
      </c>
      <c r="F538" s="3" t="s">
        <v>24</v>
      </c>
      <c r="G538" s="3" t="s">
        <v>25</v>
      </c>
      <c r="H538" s="3">
        <v>66</v>
      </c>
      <c r="I538" s="5">
        <f t="shared" si="8"/>
        <v>46023</v>
      </c>
      <c r="J538" s="3">
        <f>IF(COUNTIFS($C$2:C538,C538,$I$2:I538,I538)=1,1,0)</f>
        <v>1</v>
      </c>
    </row>
    <row r="539" spans="1:10" x14ac:dyDescent="0.3">
      <c r="A539" s="3" t="s">
        <v>552</v>
      </c>
      <c r="B539" s="3">
        <v>200</v>
      </c>
      <c r="C539" s="3">
        <v>35</v>
      </c>
      <c r="D539" s="4">
        <v>46023.918055555558</v>
      </c>
      <c r="E539" s="3">
        <v>299</v>
      </c>
      <c r="F539" s="3" t="s">
        <v>24</v>
      </c>
      <c r="G539" s="3" t="s">
        <v>25</v>
      </c>
      <c r="H539" s="3">
        <v>83</v>
      </c>
      <c r="I539" s="5">
        <f t="shared" si="8"/>
        <v>46023</v>
      </c>
      <c r="J539" s="3">
        <f>IF(COUNTIFS($C$2:C539,C539,$I$2:I539,I539)=1,1,0)</f>
        <v>0</v>
      </c>
    </row>
    <row r="540" spans="1:10" x14ac:dyDescent="0.3">
      <c r="A540" s="3" t="s">
        <v>553</v>
      </c>
      <c r="B540" s="3">
        <v>200</v>
      </c>
      <c r="C540" s="3">
        <v>21</v>
      </c>
      <c r="D540" s="4">
        <v>46023.918749999997</v>
      </c>
      <c r="E540" s="3">
        <v>299</v>
      </c>
      <c r="F540" s="3" t="s">
        <v>24</v>
      </c>
      <c r="G540" s="3" t="s">
        <v>10</v>
      </c>
      <c r="H540" s="3">
        <v>89</v>
      </c>
      <c r="I540" s="5">
        <f t="shared" si="8"/>
        <v>46023</v>
      </c>
      <c r="J540" s="3">
        <f>IF(COUNTIFS($C$2:C540,C540,$I$2:I540,I540)=1,1,0)</f>
        <v>0</v>
      </c>
    </row>
    <row r="541" spans="1:10" x14ac:dyDescent="0.3">
      <c r="A541" s="3" t="s">
        <v>554</v>
      </c>
      <c r="B541" s="3">
        <v>59</v>
      </c>
      <c r="C541" s="3">
        <v>32</v>
      </c>
      <c r="D541" s="4">
        <v>46031.875</v>
      </c>
      <c r="E541" s="3">
        <v>499</v>
      </c>
      <c r="F541" s="3" t="s">
        <v>24</v>
      </c>
      <c r="G541" s="3" t="s">
        <v>25</v>
      </c>
      <c r="H541" s="3">
        <v>80</v>
      </c>
      <c r="I541" s="5">
        <f t="shared" si="8"/>
        <v>46031</v>
      </c>
      <c r="J541" s="3">
        <f>IF(COUNTIFS($C$2:C541,C541,$I$2:I541,I541)=1,1,0)</f>
        <v>1</v>
      </c>
    </row>
    <row r="542" spans="1:10" x14ac:dyDescent="0.3">
      <c r="A542" s="3" t="s">
        <v>555</v>
      </c>
      <c r="B542" s="3">
        <v>59</v>
      </c>
      <c r="C542" s="3">
        <v>39</v>
      </c>
      <c r="D542" s="4">
        <v>46031.875694444447</v>
      </c>
      <c r="E542" s="3">
        <v>399</v>
      </c>
      <c r="F542" s="3" t="s">
        <v>24</v>
      </c>
      <c r="G542" s="3" t="s">
        <v>25</v>
      </c>
      <c r="H542" s="3">
        <v>85</v>
      </c>
      <c r="I542" s="5">
        <f t="shared" si="8"/>
        <v>46031</v>
      </c>
      <c r="J542" s="3">
        <f>IF(COUNTIFS($C$2:C542,C542,$I$2:I542,I542)=1,1,0)</f>
        <v>1</v>
      </c>
    </row>
    <row r="543" spans="1:10" x14ac:dyDescent="0.3">
      <c r="A543" s="3" t="s">
        <v>556</v>
      </c>
      <c r="B543" s="3">
        <v>59</v>
      </c>
      <c r="C543" s="3">
        <v>38</v>
      </c>
      <c r="D543" s="4">
        <v>46031.876388888886</v>
      </c>
      <c r="E543" s="3">
        <v>299</v>
      </c>
      <c r="F543" s="3" t="s">
        <v>24</v>
      </c>
      <c r="G543" s="3" t="s">
        <v>25</v>
      </c>
      <c r="H543" s="3">
        <v>82</v>
      </c>
      <c r="I543" s="5">
        <f t="shared" si="8"/>
        <v>46031</v>
      </c>
      <c r="J543" s="3">
        <f>IF(COUNTIFS($C$2:C543,C543,$I$2:I543,I543)=1,1,0)</f>
        <v>0</v>
      </c>
    </row>
    <row r="544" spans="1:10" x14ac:dyDescent="0.3">
      <c r="A544" s="3" t="s">
        <v>557</v>
      </c>
      <c r="B544" s="3">
        <v>59</v>
      </c>
      <c r="C544" s="3">
        <v>23</v>
      </c>
      <c r="D544" s="4">
        <v>46031.877083333333</v>
      </c>
      <c r="E544" s="3">
        <v>399</v>
      </c>
      <c r="F544" s="3" t="s">
        <v>24</v>
      </c>
      <c r="G544" s="3" t="s">
        <v>10</v>
      </c>
      <c r="H544" s="3">
        <v>71</v>
      </c>
      <c r="I544" s="5">
        <f t="shared" si="8"/>
        <v>46031</v>
      </c>
      <c r="J544" s="3">
        <f>IF(COUNTIFS($C$2:C544,C544,$I$2:I544,I544)=1,1,0)</f>
        <v>1</v>
      </c>
    </row>
    <row r="545" spans="1:10" x14ac:dyDescent="0.3">
      <c r="A545" s="3" t="s">
        <v>558</v>
      </c>
      <c r="B545" s="3">
        <v>345</v>
      </c>
      <c r="C545" s="3">
        <v>40</v>
      </c>
      <c r="D545" s="4">
        <v>46045.375</v>
      </c>
      <c r="E545" s="3">
        <v>499</v>
      </c>
      <c r="F545" s="3" t="s">
        <v>24</v>
      </c>
      <c r="G545" s="3" t="s">
        <v>25</v>
      </c>
      <c r="H545" s="3">
        <v>65</v>
      </c>
      <c r="I545" s="5">
        <f t="shared" si="8"/>
        <v>46045</v>
      </c>
      <c r="J545" s="3">
        <f>IF(COUNTIFS($C$2:C545,C545,$I$2:I545,I545)=1,1,0)</f>
        <v>0</v>
      </c>
    </row>
    <row r="546" spans="1:10" x14ac:dyDescent="0.3">
      <c r="A546" s="3" t="s">
        <v>559</v>
      </c>
      <c r="B546" s="3">
        <v>345</v>
      </c>
      <c r="C546" s="3">
        <v>9</v>
      </c>
      <c r="D546" s="4">
        <v>46045.375694444447</v>
      </c>
      <c r="E546" s="3">
        <v>399</v>
      </c>
      <c r="F546" s="3" t="s">
        <v>24</v>
      </c>
      <c r="G546" s="3" t="s">
        <v>25</v>
      </c>
      <c r="H546" s="3">
        <v>67</v>
      </c>
      <c r="I546" s="5">
        <f t="shared" si="8"/>
        <v>46045</v>
      </c>
      <c r="J546" s="3">
        <f>IF(COUNTIFS($C$2:C546,C546,$I$2:I546,I546)=1,1,0)</f>
        <v>0</v>
      </c>
    </row>
    <row r="547" spans="1:10" x14ac:dyDescent="0.3">
      <c r="A547" s="3" t="s">
        <v>560</v>
      </c>
      <c r="B547" s="3">
        <v>345</v>
      </c>
      <c r="C547" s="3">
        <v>16</v>
      </c>
      <c r="D547" s="4">
        <v>46045.376388888886</v>
      </c>
      <c r="E547" s="3">
        <v>399</v>
      </c>
      <c r="F547" s="3" t="s">
        <v>24</v>
      </c>
      <c r="G547" s="3" t="s">
        <v>25</v>
      </c>
      <c r="H547" s="3">
        <v>67</v>
      </c>
      <c r="I547" s="5">
        <f t="shared" si="8"/>
        <v>46045</v>
      </c>
      <c r="J547" s="3">
        <f>IF(COUNTIFS($C$2:C547,C547,$I$2:I547,I547)=1,1,0)</f>
        <v>1</v>
      </c>
    </row>
    <row r="548" spans="1:10" x14ac:dyDescent="0.3">
      <c r="A548" s="3" t="s">
        <v>561</v>
      </c>
      <c r="B548" s="3">
        <v>345</v>
      </c>
      <c r="C548" s="3">
        <v>12</v>
      </c>
      <c r="D548" s="4">
        <v>46045.377083333333</v>
      </c>
      <c r="E548" s="3">
        <v>399</v>
      </c>
      <c r="F548" s="3" t="s">
        <v>24</v>
      </c>
      <c r="G548" s="3" t="s">
        <v>10</v>
      </c>
      <c r="H548" s="3">
        <v>69</v>
      </c>
      <c r="I548" s="5">
        <f t="shared" si="8"/>
        <v>46045</v>
      </c>
      <c r="J548" s="3">
        <f>IF(COUNTIFS($C$2:C548,C548,$I$2:I548,I548)=1,1,0)</f>
        <v>0</v>
      </c>
    </row>
  </sheetData>
  <pageMargins left="0.7" right="0.7" top="0.75" bottom="0.75" header="0.3" footer="0.3"/>
  <ignoredErrors>
    <ignoredError sqref="J3:J54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EEEC-F45D-4868-A3AF-19CD600F891A}">
  <dimension ref="A1:N548"/>
  <sheetViews>
    <sheetView workbookViewId="0">
      <selection activeCell="O4" sqref="O4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5.44140625" bestFit="1" customWidth="1"/>
    <col min="4" max="4" width="10.88671875" bestFit="1" customWidth="1"/>
    <col min="5" max="5" width="16.33203125" bestFit="1" customWidth="1"/>
    <col min="6" max="6" width="16.33203125" customWidth="1"/>
    <col min="7" max="7" width="10.33203125" bestFit="1" customWidth="1"/>
    <col min="8" max="8" width="15" bestFit="1" customWidth="1"/>
    <col min="9" max="9" width="16.33203125" bestFit="1" customWidth="1"/>
    <col min="10" max="10" width="8.21875" bestFit="1" customWidth="1"/>
    <col min="11" max="11" width="17.77734375" bestFit="1" customWidth="1"/>
    <col min="12" max="12" width="14.6640625" bestFit="1" customWidth="1"/>
    <col min="13" max="13" width="18.88671875" bestFit="1" customWidth="1"/>
    <col min="14" max="14" width="11.88671875" bestFit="1" customWidth="1"/>
  </cols>
  <sheetData>
    <row r="1" spans="1:14" x14ac:dyDescent="0.3">
      <c r="A1" s="8" t="s">
        <v>0</v>
      </c>
      <c r="B1" s="8" t="s">
        <v>2</v>
      </c>
      <c r="C1" s="8" t="s">
        <v>562</v>
      </c>
      <c r="D1" s="8" t="s">
        <v>563</v>
      </c>
      <c r="E1" s="8" t="s">
        <v>564</v>
      </c>
      <c r="F1" s="8" t="s">
        <v>623</v>
      </c>
      <c r="G1" s="8" t="s">
        <v>617</v>
      </c>
      <c r="H1" s="8" t="s">
        <v>4</v>
      </c>
      <c r="I1" s="8" t="s">
        <v>5</v>
      </c>
      <c r="J1" s="8" t="s">
        <v>6</v>
      </c>
      <c r="K1" s="8" t="s">
        <v>622</v>
      </c>
      <c r="L1" s="8" t="s">
        <v>624</v>
      </c>
      <c r="M1" s="8" t="s">
        <v>625</v>
      </c>
      <c r="N1" s="8" t="s">
        <v>626</v>
      </c>
    </row>
    <row r="2" spans="1:14" x14ac:dyDescent="0.3">
      <c r="A2" s="3" t="str">
        <f>ledger!A2</f>
        <v>TXN100000</v>
      </c>
      <c r="B2" s="3">
        <f>ledger!C2</f>
        <v>16</v>
      </c>
      <c r="C2" s="4" t="str">
        <f>IFERROR(VLOOKUP(B2, merchants!$A$2:$D$41, 2, FALSE), "Merchant not found")</f>
        <v>Merchant_016</v>
      </c>
      <c r="D2" s="3" t="str">
        <f>IFERROR(VLOOKUP(B2, merchants!$A$2:$D$41, 3, FALSE), "Merchant not found")</f>
        <v>bill_payment</v>
      </c>
      <c r="E2" s="3" t="str">
        <f>IFERROR(VLOOKUP(B2, merchants!$A$2:$D$41, 4, FALSE), "Merchant not found")</f>
        <v>West</v>
      </c>
      <c r="F2" s="4">
        <f>ledger!D2</f>
        <v>46051.467361111114</v>
      </c>
      <c r="G2" s="5">
        <f>ledger!I2</f>
        <v>46051</v>
      </c>
      <c r="H2" s="3">
        <f>ledger!E2</f>
        <v>2999</v>
      </c>
      <c r="I2" s="3" t="str">
        <f>ledger!F2</f>
        <v>Wallet</v>
      </c>
      <c r="J2" s="3" t="str">
        <f>ledger!G2</f>
        <v>captured</v>
      </c>
      <c r="K2" s="9">
        <f>HLOOKUP(I2,Fee!$B$1:$E$2,2,FALSE())</f>
        <v>1.4999999999999999E-2</v>
      </c>
      <c r="L2" s="12">
        <f>H2*K2</f>
        <v>44.984999999999999</v>
      </c>
      <c r="M2" s="3">
        <f>SUMIFS(ledger!$E$2:$E$548, ledger!$C$2:$C$548, B2, ledger!$I$2:$I$548, G2)</f>
        <v>2999</v>
      </c>
      <c r="N2" s="3" t="str">
        <f>IF(AND(M2&gt;5000,E2&lt;&gt;"East"),"High Value","Standard")</f>
        <v>Standard</v>
      </c>
    </row>
    <row r="3" spans="1:14" x14ac:dyDescent="0.3">
      <c r="A3" s="3" t="str">
        <f>ledger!A3</f>
        <v>TXN100001</v>
      </c>
      <c r="B3" s="3">
        <f>ledger!C3</f>
        <v>27</v>
      </c>
      <c r="C3" s="4" t="str">
        <f>IFERROR(VLOOKUP(B3, merchants!$A$2:$D$41, 2, FALSE), "Merchant not found")</f>
        <v>Merchant_027</v>
      </c>
      <c r="D3" s="3" t="str">
        <f>IFERROR(VLOOKUP(B3, merchants!$A$2:$D$41, 3, FALSE), "Merchant not found")</f>
        <v>ecommerce</v>
      </c>
      <c r="E3" s="3" t="str">
        <f>IFERROR(VLOOKUP(B3, merchants!$A$2:$D$41, 4, FALSE), "Merchant not found")</f>
        <v>North</v>
      </c>
      <c r="F3" s="4">
        <f>ledger!D3</f>
        <v>46026.492361111108</v>
      </c>
      <c r="G3" s="5">
        <f>ledger!I3</f>
        <v>46026</v>
      </c>
      <c r="H3" s="3">
        <f>ledger!E3</f>
        <v>49</v>
      </c>
      <c r="I3" s="3" t="str">
        <f>ledger!F3</f>
        <v>UPI</v>
      </c>
      <c r="J3" s="3" t="str">
        <f>ledger!G3</f>
        <v>captured</v>
      </c>
      <c r="K3" s="9">
        <f>HLOOKUP(I3,Fee!$B$1:$E$2,2,FALSE())</f>
        <v>5.0000000000000001E-3</v>
      </c>
      <c r="L3" s="12">
        <f t="shared" ref="L3:L66" si="0">H3*K3</f>
        <v>0.245</v>
      </c>
      <c r="M3" s="3">
        <f>SUMIFS(ledger!$E$2:$E$548, ledger!$C$2:$C$548, B3, ledger!$I$2:$I$548, G3)</f>
        <v>49</v>
      </c>
      <c r="N3" s="3" t="str">
        <f t="shared" ref="N3:N66" si="1">IF(AND(M3&gt;5000,E3&lt;&gt;"East"),"High Value","Standard")</f>
        <v>Standard</v>
      </c>
    </row>
    <row r="4" spans="1:14" x14ac:dyDescent="0.3">
      <c r="A4" s="3" t="str">
        <f>ledger!A4</f>
        <v>TXN100002</v>
      </c>
      <c r="B4" s="3">
        <f>ledger!C4</f>
        <v>11</v>
      </c>
      <c r="C4" s="4" t="str">
        <f>IFERROR(VLOOKUP(B4, merchants!$A$2:$D$41, 2, FALSE), "Merchant not found")</f>
        <v>Merchant_011</v>
      </c>
      <c r="D4" s="3" t="str">
        <f>IFERROR(VLOOKUP(B4, merchants!$A$2:$D$41, 3, FALSE), "Merchant not found")</f>
        <v>ecommerce</v>
      </c>
      <c r="E4" s="3" t="str">
        <f>IFERROR(VLOOKUP(B4, merchants!$A$2:$D$41, 4, FALSE), "Merchant not found")</f>
        <v>North</v>
      </c>
      <c r="F4" s="4">
        <f>ledger!D4</f>
        <v>46046.207638888889</v>
      </c>
      <c r="G4" s="5">
        <f>ledger!I4</f>
        <v>46046</v>
      </c>
      <c r="H4" s="3">
        <f>ledger!E4</f>
        <v>1499</v>
      </c>
      <c r="I4" s="3" t="str">
        <f>ledger!F4</f>
        <v>Wallet</v>
      </c>
      <c r="J4" s="3" t="str">
        <f>ledger!G4</f>
        <v>captured</v>
      </c>
      <c r="K4" s="9">
        <f>HLOOKUP(I4,Fee!$B$1:$E$2,2,FALSE())</f>
        <v>1.4999999999999999E-2</v>
      </c>
      <c r="L4" s="12">
        <f t="shared" si="0"/>
        <v>22.484999999999999</v>
      </c>
      <c r="M4" s="3">
        <f>SUMIFS(ledger!$E$2:$E$548, ledger!$C$2:$C$548, B4, ledger!$I$2:$I$548, G4)</f>
        <v>1798</v>
      </c>
      <c r="N4" s="3" t="str">
        <f t="shared" si="1"/>
        <v>Standard</v>
      </c>
    </row>
    <row r="5" spans="1:14" x14ac:dyDescent="0.3">
      <c r="A5" s="3" t="str">
        <f>ledger!A5</f>
        <v>TXN100003</v>
      </c>
      <c r="B5" s="3">
        <f>ledger!C5</f>
        <v>22</v>
      </c>
      <c r="C5" s="4" t="str">
        <f>IFERROR(VLOOKUP(B5, merchants!$A$2:$D$41, 2, FALSE), "Merchant not found")</f>
        <v>Merchant_022</v>
      </c>
      <c r="D5" s="3" t="str">
        <f>IFERROR(VLOOKUP(B5, merchants!$A$2:$D$41, 3, FALSE), "Merchant not found")</f>
        <v>travel</v>
      </c>
      <c r="E5" s="3" t="str">
        <f>IFERROR(VLOOKUP(B5, merchants!$A$2:$D$41, 4, FALSE), "Merchant not found")</f>
        <v>South</v>
      </c>
      <c r="F5" s="4">
        <f>ledger!D5</f>
        <v>46051.542361111111</v>
      </c>
      <c r="G5" s="5">
        <f>ledger!I5</f>
        <v>46051</v>
      </c>
      <c r="H5" s="3">
        <f>ledger!E5</f>
        <v>49</v>
      </c>
      <c r="I5" s="3" t="str">
        <f>ledger!F5</f>
        <v>Netbanking</v>
      </c>
      <c r="J5" s="3" t="str">
        <f>ledger!G5</f>
        <v>captured</v>
      </c>
      <c r="K5" s="9">
        <f>HLOOKUP(I5,Fee!$B$1:$E$2,2,FALSE())</f>
        <v>1.7999999999999999E-2</v>
      </c>
      <c r="L5" s="12">
        <f t="shared" si="0"/>
        <v>0.8819999999999999</v>
      </c>
      <c r="M5" s="3">
        <f>SUMIFS(ledger!$E$2:$E$548, ledger!$C$2:$C$548, B5, ledger!$I$2:$I$548, G5)</f>
        <v>49</v>
      </c>
      <c r="N5" s="3" t="str">
        <f t="shared" si="1"/>
        <v>Standard</v>
      </c>
    </row>
    <row r="6" spans="1:14" x14ac:dyDescent="0.3">
      <c r="A6" s="3" t="str">
        <f>ledger!A6</f>
        <v>TXN100004</v>
      </c>
      <c r="B6" s="3">
        <f>ledger!C6</f>
        <v>16</v>
      </c>
      <c r="C6" s="4" t="str">
        <f>IFERROR(VLOOKUP(B6, merchants!$A$2:$D$41, 2, FALSE), "Merchant not found")</f>
        <v>Merchant_016</v>
      </c>
      <c r="D6" s="3" t="str">
        <f>IFERROR(VLOOKUP(B6, merchants!$A$2:$D$41, 3, FALSE), "Merchant not found")</f>
        <v>bill_payment</v>
      </c>
      <c r="E6" s="3" t="str">
        <f>IFERROR(VLOOKUP(B6, merchants!$A$2:$D$41, 4, FALSE), "Merchant not found")</f>
        <v>West</v>
      </c>
      <c r="F6" s="4">
        <f>ledger!D6</f>
        <v>46052.57708333333</v>
      </c>
      <c r="G6" s="5">
        <f>ledger!I6</f>
        <v>46052</v>
      </c>
      <c r="H6" s="3">
        <f>ledger!E6</f>
        <v>99</v>
      </c>
      <c r="I6" s="3" t="str">
        <f>ledger!F6</f>
        <v>UPI</v>
      </c>
      <c r="J6" s="3" t="str">
        <f>ledger!G6</f>
        <v>captured</v>
      </c>
      <c r="K6" s="9">
        <f>HLOOKUP(I6,Fee!$B$1:$E$2,2,FALSE())</f>
        <v>5.0000000000000001E-3</v>
      </c>
      <c r="L6" s="12">
        <f t="shared" si="0"/>
        <v>0.495</v>
      </c>
      <c r="M6" s="3">
        <f>SUMIFS(ledger!$E$2:$E$548, ledger!$C$2:$C$548, B6, ledger!$I$2:$I$548, G6)</f>
        <v>898</v>
      </c>
      <c r="N6" s="3" t="str">
        <f t="shared" si="1"/>
        <v>Standard</v>
      </c>
    </row>
    <row r="7" spans="1:14" x14ac:dyDescent="0.3">
      <c r="A7" s="3" t="str">
        <f>ledger!A7</f>
        <v>TXN100005</v>
      </c>
      <c r="B7" s="3">
        <f>ledger!C7</f>
        <v>3</v>
      </c>
      <c r="C7" s="4" t="str">
        <f>IFERROR(VLOOKUP(B7, merchants!$A$2:$D$41, 2, FALSE), "Merchant not found")</f>
        <v>Merchant_003</v>
      </c>
      <c r="D7" s="3" t="str">
        <f>IFERROR(VLOOKUP(B7, merchants!$A$2:$D$41, 3, FALSE), "Merchant not found")</f>
        <v>grocery</v>
      </c>
      <c r="E7" s="3" t="str">
        <f>IFERROR(VLOOKUP(B7, merchants!$A$2:$D$41, 4, FALSE), "Merchant not found")</f>
        <v>East</v>
      </c>
      <c r="F7" s="4">
        <f>ledger!D7</f>
        <v>46028.92083333333</v>
      </c>
      <c r="G7" s="5">
        <f>ledger!I7</f>
        <v>46028</v>
      </c>
      <c r="H7" s="3">
        <f>ledger!E7</f>
        <v>99</v>
      </c>
      <c r="I7" s="3" t="str">
        <f>ledger!F7</f>
        <v>UPI</v>
      </c>
      <c r="J7" s="3" t="str">
        <f>ledger!G7</f>
        <v>captured</v>
      </c>
      <c r="K7" s="9">
        <f>HLOOKUP(I7,Fee!$B$1:$E$2,2,FALSE())</f>
        <v>5.0000000000000001E-3</v>
      </c>
      <c r="L7" s="12">
        <f t="shared" si="0"/>
        <v>0.495</v>
      </c>
      <c r="M7" s="3">
        <f>SUMIFS(ledger!$E$2:$E$548, ledger!$C$2:$C$548, B7, ledger!$I$2:$I$548, G7)</f>
        <v>898</v>
      </c>
      <c r="N7" s="3" t="str">
        <f t="shared" si="1"/>
        <v>Standard</v>
      </c>
    </row>
    <row r="8" spans="1:14" x14ac:dyDescent="0.3">
      <c r="A8" s="3" t="str">
        <f>ledger!A8</f>
        <v>TXN100006</v>
      </c>
      <c r="B8" s="3">
        <f>ledger!C8</f>
        <v>23</v>
      </c>
      <c r="C8" s="4" t="str">
        <f>IFERROR(VLOOKUP(B8, merchants!$A$2:$D$41, 2, FALSE), "Merchant not found")</f>
        <v>Merchant_023</v>
      </c>
      <c r="D8" s="3" t="str">
        <f>IFERROR(VLOOKUP(B8, merchants!$A$2:$D$41, 3, FALSE), "Merchant not found")</f>
        <v>travel</v>
      </c>
      <c r="E8" s="3" t="str">
        <f>IFERROR(VLOOKUP(B8, merchants!$A$2:$D$41, 4, FALSE), "Merchant not found")</f>
        <v>North</v>
      </c>
      <c r="F8" s="4">
        <f>ledger!D8</f>
        <v>46030.286111111112</v>
      </c>
      <c r="G8" s="5">
        <f>ledger!I8</f>
        <v>46030</v>
      </c>
      <c r="H8" s="3">
        <f>ledger!E8</f>
        <v>99</v>
      </c>
      <c r="I8" s="3" t="str">
        <f>ledger!F8</f>
        <v>Wallet</v>
      </c>
      <c r="J8" s="3" t="str">
        <f>ledger!G8</f>
        <v>captured</v>
      </c>
      <c r="K8" s="9">
        <f>HLOOKUP(I8,Fee!$B$1:$E$2,2,FALSE())</f>
        <v>1.4999999999999999E-2</v>
      </c>
      <c r="L8" s="12">
        <f t="shared" si="0"/>
        <v>1.4849999999999999</v>
      </c>
      <c r="M8" s="3">
        <f>SUMIFS(ledger!$E$2:$E$548, ledger!$C$2:$C$548, B8, ledger!$I$2:$I$548, G8)</f>
        <v>99</v>
      </c>
      <c r="N8" s="3" t="str">
        <f t="shared" si="1"/>
        <v>Standard</v>
      </c>
    </row>
    <row r="9" spans="1:14" x14ac:dyDescent="0.3">
      <c r="A9" s="3" t="str">
        <f>ledger!A9</f>
        <v>TXN100007</v>
      </c>
      <c r="B9" s="3">
        <f>ledger!C9</f>
        <v>13</v>
      </c>
      <c r="C9" s="4" t="str">
        <f>IFERROR(VLOOKUP(B9, merchants!$A$2:$D$41, 2, FALSE), "Merchant not found")</f>
        <v>Merchant_013</v>
      </c>
      <c r="D9" s="3" t="str">
        <f>IFERROR(VLOOKUP(B9, merchants!$A$2:$D$41, 3, FALSE), "Merchant not found")</f>
        <v>travel</v>
      </c>
      <c r="E9" s="3" t="str">
        <f>IFERROR(VLOOKUP(B9, merchants!$A$2:$D$41, 4, FALSE), "Merchant not found")</f>
        <v>East</v>
      </c>
      <c r="F9" s="4">
        <f>ledger!D9</f>
        <v>46049.301388888889</v>
      </c>
      <c r="G9" s="5">
        <f>ledger!I9</f>
        <v>46049</v>
      </c>
      <c r="H9" s="3">
        <f>ledger!E9</f>
        <v>99</v>
      </c>
      <c r="I9" s="3" t="str">
        <f>ledger!F9</f>
        <v>UPI</v>
      </c>
      <c r="J9" s="3" t="str">
        <f>ledger!G9</f>
        <v>captured</v>
      </c>
      <c r="K9" s="9">
        <f>HLOOKUP(I9,Fee!$B$1:$E$2,2,FALSE())</f>
        <v>5.0000000000000001E-3</v>
      </c>
      <c r="L9" s="12">
        <f t="shared" si="0"/>
        <v>0.495</v>
      </c>
      <c r="M9" s="3">
        <f>SUMIFS(ledger!$E$2:$E$548, ledger!$C$2:$C$548, B9, ledger!$I$2:$I$548, G9)</f>
        <v>99</v>
      </c>
      <c r="N9" s="3" t="str">
        <f t="shared" si="1"/>
        <v>Standard</v>
      </c>
    </row>
    <row r="10" spans="1:14" x14ac:dyDescent="0.3">
      <c r="A10" s="3" t="str">
        <f>ledger!A10</f>
        <v>TXN100008</v>
      </c>
      <c r="B10" s="3">
        <f>ledger!C10</f>
        <v>18</v>
      </c>
      <c r="C10" s="4" t="str">
        <f>IFERROR(VLOOKUP(B10, merchants!$A$2:$D$41, 2, FALSE), "Merchant not found")</f>
        <v>Merchant_018</v>
      </c>
      <c r="D10" s="3" t="str">
        <f>IFERROR(VLOOKUP(B10, merchants!$A$2:$D$41, 3, FALSE), "Merchant not found")</f>
        <v>grocery</v>
      </c>
      <c r="E10" s="3" t="str">
        <f>IFERROR(VLOOKUP(B10, merchants!$A$2:$D$41, 4, FALSE), "Merchant not found")</f>
        <v>West</v>
      </c>
      <c r="F10" s="4">
        <f>ledger!D10</f>
        <v>46033.371527777781</v>
      </c>
      <c r="G10" s="5">
        <f>ledger!I10</f>
        <v>46033</v>
      </c>
      <c r="H10" s="3">
        <f>ledger!E10</f>
        <v>799</v>
      </c>
      <c r="I10" s="3" t="str">
        <f>ledger!F10</f>
        <v>UPI</v>
      </c>
      <c r="J10" s="3" t="str">
        <f>ledger!G10</f>
        <v>captured</v>
      </c>
      <c r="K10" s="9">
        <f>HLOOKUP(I10,Fee!$B$1:$E$2,2,FALSE())</f>
        <v>5.0000000000000001E-3</v>
      </c>
      <c r="L10" s="12">
        <f t="shared" si="0"/>
        <v>3.9950000000000001</v>
      </c>
      <c r="M10" s="3">
        <f>SUMIFS(ledger!$E$2:$E$548, ledger!$C$2:$C$548, B10, ledger!$I$2:$I$548, G10)</f>
        <v>799</v>
      </c>
      <c r="N10" s="3" t="str">
        <f t="shared" si="1"/>
        <v>Standard</v>
      </c>
    </row>
    <row r="11" spans="1:14" x14ac:dyDescent="0.3">
      <c r="A11" s="3" t="str">
        <f>ledger!A11</f>
        <v>TXN100009</v>
      </c>
      <c r="B11" s="3">
        <f>ledger!C11</f>
        <v>35</v>
      </c>
      <c r="C11" s="4" t="str">
        <f>IFERROR(VLOOKUP(B11, merchants!$A$2:$D$41, 2, FALSE), "Merchant not found")</f>
        <v>Merchant_035</v>
      </c>
      <c r="D11" s="3" t="str">
        <f>IFERROR(VLOOKUP(B11, merchants!$A$2:$D$41, 3, FALSE), "Merchant not found")</f>
        <v>recharge</v>
      </c>
      <c r="E11" s="3" t="str">
        <f>IFERROR(VLOOKUP(B11, merchants!$A$2:$D$41, 4, FALSE), "Merchant not found")</f>
        <v>East</v>
      </c>
      <c r="F11" s="4">
        <f>ledger!D11</f>
        <v>46043.684027777781</v>
      </c>
      <c r="G11" s="5">
        <f>ledger!I11</f>
        <v>46043</v>
      </c>
      <c r="H11" s="3">
        <f>ledger!E11</f>
        <v>299</v>
      </c>
      <c r="I11" s="3" t="str">
        <f>ledger!F11</f>
        <v>UPI</v>
      </c>
      <c r="J11" s="3" t="str">
        <f>ledger!G11</f>
        <v>captured</v>
      </c>
      <c r="K11" s="9">
        <f>HLOOKUP(I11,Fee!$B$1:$E$2,2,FALSE())</f>
        <v>5.0000000000000001E-3</v>
      </c>
      <c r="L11" s="12">
        <f t="shared" si="0"/>
        <v>1.4950000000000001</v>
      </c>
      <c r="M11" s="3">
        <f>SUMIFS(ledger!$E$2:$E$548, ledger!$C$2:$C$548, B11, ledger!$I$2:$I$548, G11)</f>
        <v>299</v>
      </c>
      <c r="N11" s="3" t="str">
        <f t="shared" si="1"/>
        <v>Standard</v>
      </c>
    </row>
    <row r="12" spans="1:14" x14ac:dyDescent="0.3">
      <c r="A12" s="3" t="str">
        <f>ledger!A12</f>
        <v>TXN100010</v>
      </c>
      <c r="B12" s="3">
        <f>ledger!C12</f>
        <v>12</v>
      </c>
      <c r="C12" s="4" t="str">
        <f>IFERROR(VLOOKUP(B12, merchants!$A$2:$D$41, 2, FALSE), "Merchant not found")</f>
        <v>Merchant_012</v>
      </c>
      <c r="D12" s="3" t="str">
        <f>IFERROR(VLOOKUP(B12, merchants!$A$2:$D$41, 3, FALSE), "Merchant not found")</f>
        <v>ecommerce</v>
      </c>
      <c r="E12" s="3" t="str">
        <f>IFERROR(VLOOKUP(B12, merchants!$A$2:$D$41, 4, FALSE), "Merchant not found")</f>
        <v>East</v>
      </c>
      <c r="F12" s="4">
        <f>ledger!D12</f>
        <v>46023.163888888892</v>
      </c>
      <c r="G12" s="5">
        <f>ledger!I12</f>
        <v>46023</v>
      </c>
      <c r="H12" s="3">
        <f>ledger!E12</f>
        <v>49</v>
      </c>
      <c r="I12" s="3" t="str">
        <f>ledger!F12</f>
        <v>UPI</v>
      </c>
      <c r="J12" s="3" t="str">
        <f>ledger!G12</f>
        <v>captured</v>
      </c>
      <c r="K12" s="9">
        <f>HLOOKUP(I12,Fee!$B$1:$E$2,2,FALSE())</f>
        <v>5.0000000000000001E-3</v>
      </c>
      <c r="L12" s="12">
        <f t="shared" si="0"/>
        <v>0.245</v>
      </c>
      <c r="M12" s="3">
        <f>SUMIFS(ledger!$E$2:$E$548, ledger!$C$2:$C$548, B12, ledger!$I$2:$I$548, G12)</f>
        <v>548</v>
      </c>
      <c r="N12" s="3" t="str">
        <f t="shared" si="1"/>
        <v>Standard</v>
      </c>
    </row>
    <row r="13" spans="1:14" x14ac:dyDescent="0.3">
      <c r="A13" s="3" t="str">
        <f>ledger!A13</f>
        <v>TXN100011</v>
      </c>
      <c r="B13" s="3">
        <f>ledger!C13</f>
        <v>28</v>
      </c>
      <c r="C13" s="4" t="str">
        <f>IFERROR(VLOOKUP(B13, merchants!$A$2:$D$41, 2, FALSE), "Merchant not found")</f>
        <v>Merchant_028</v>
      </c>
      <c r="D13" s="3" t="str">
        <f>IFERROR(VLOOKUP(B13, merchants!$A$2:$D$41, 3, FALSE), "Merchant not found")</f>
        <v>ecommerce</v>
      </c>
      <c r="E13" s="3" t="str">
        <f>IFERROR(VLOOKUP(B13, merchants!$A$2:$D$41, 4, FALSE), "Merchant not found")</f>
        <v>South</v>
      </c>
      <c r="F13" s="4">
        <f>ledger!D13</f>
        <v>46031.04583333333</v>
      </c>
      <c r="G13" s="5">
        <f>ledger!I13</f>
        <v>46031</v>
      </c>
      <c r="H13" s="3">
        <f>ledger!E13</f>
        <v>2999</v>
      </c>
      <c r="I13" s="3" t="str">
        <f>ledger!F13</f>
        <v>Card</v>
      </c>
      <c r="J13" s="3" t="str">
        <f>ledger!G13</f>
        <v>failed</v>
      </c>
      <c r="K13" s="9">
        <f>HLOOKUP(I13,Fee!$B$1:$E$2,2,FALSE())</f>
        <v>0.02</v>
      </c>
      <c r="L13" s="12">
        <f t="shared" si="0"/>
        <v>59.980000000000004</v>
      </c>
      <c r="M13" s="3">
        <f>SUMIFS(ledger!$E$2:$E$548, ledger!$C$2:$C$548, B13, ledger!$I$2:$I$548, G13)</f>
        <v>2999</v>
      </c>
      <c r="N13" s="3" t="str">
        <f t="shared" si="1"/>
        <v>Standard</v>
      </c>
    </row>
    <row r="14" spans="1:14" x14ac:dyDescent="0.3">
      <c r="A14" s="3" t="str">
        <f>ledger!A14</f>
        <v>TXN100012</v>
      </c>
      <c r="B14" s="3">
        <f>ledger!C14</f>
        <v>33</v>
      </c>
      <c r="C14" s="4" t="str">
        <f>IFERROR(VLOOKUP(B14, merchants!$A$2:$D$41, 2, FALSE), "Merchant not found")</f>
        <v>Merchant_033</v>
      </c>
      <c r="D14" s="3" t="str">
        <f>IFERROR(VLOOKUP(B14, merchants!$A$2:$D$41, 3, FALSE), "Merchant not found")</f>
        <v>bill_payment</v>
      </c>
      <c r="E14" s="3" t="str">
        <f>IFERROR(VLOOKUP(B14, merchants!$A$2:$D$41, 4, FALSE), "Merchant not found")</f>
        <v>East</v>
      </c>
      <c r="F14" s="4">
        <f>ledger!D14</f>
        <v>46046.435416666667</v>
      </c>
      <c r="G14" s="5">
        <f>ledger!I14</f>
        <v>46046</v>
      </c>
      <c r="H14" s="3">
        <f>ledger!E14</f>
        <v>49</v>
      </c>
      <c r="I14" s="3" t="str">
        <f>ledger!F14</f>
        <v>Wallet</v>
      </c>
      <c r="J14" s="3" t="str">
        <f>ledger!G14</f>
        <v>captured</v>
      </c>
      <c r="K14" s="9">
        <f>HLOOKUP(I14,Fee!$B$1:$E$2,2,FALSE())</f>
        <v>1.4999999999999999E-2</v>
      </c>
      <c r="L14" s="12">
        <f t="shared" si="0"/>
        <v>0.73499999999999999</v>
      </c>
      <c r="M14" s="3">
        <f>SUMIFS(ledger!$E$2:$E$548, ledger!$C$2:$C$548, B14, ledger!$I$2:$I$548, G14)</f>
        <v>49</v>
      </c>
      <c r="N14" s="3" t="str">
        <f t="shared" si="1"/>
        <v>Standard</v>
      </c>
    </row>
    <row r="15" spans="1:14" x14ac:dyDescent="0.3">
      <c r="A15" s="3" t="str">
        <f>ledger!A15</f>
        <v>TXN100013</v>
      </c>
      <c r="B15" s="3">
        <f>ledger!C15</f>
        <v>3</v>
      </c>
      <c r="C15" s="4" t="str">
        <f>IFERROR(VLOOKUP(B15, merchants!$A$2:$D$41, 2, FALSE), "Merchant not found")</f>
        <v>Merchant_003</v>
      </c>
      <c r="D15" s="3" t="str">
        <f>IFERROR(VLOOKUP(B15, merchants!$A$2:$D$41, 3, FALSE), "Merchant not found")</f>
        <v>grocery</v>
      </c>
      <c r="E15" s="3" t="str">
        <f>IFERROR(VLOOKUP(B15, merchants!$A$2:$D$41, 4, FALSE), "Merchant not found")</f>
        <v>East</v>
      </c>
      <c r="F15" s="4">
        <f>ledger!D15</f>
        <v>46035.758333333331</v>
      </c>
      <c r="G15" s="5">
        <f>ledger!I15</f>
        <v>46035</v>
      </c>
      <c r="H15" s="3">
        <f>ledger!E15</f>
        <v>49</v>
      </c>
      <c r="I15" s="3" t="str">
        <f>ledger!F15</f>
        <v>UPI</v>
      </c>
      <c r="J15" s="3" t="str">
        <f>ledger!G15</f>
        <v>captured</v>
      </c>
      <c r="K15" s="9">
        <f>HLOOKUP(I15,Fee!$B$1:$E$2,2,FALSE())</f>
        <v>5.0000000000000001E-3</v>
      </c>
      <c r="L15" s="12">
        <f t="shared" si="0"/>
        <v>0.245</v>
      </c>
      <c r="M15" s="3">
        <f>SUMIFS(ledger!$E$2:$E$548, ledger!$C$2:$C$548, B15, ledger!$I$2:$I$548, G15)</f>
        <v>198</v>
      </c>
      <c r="N15" s="3" t="str">
        <f t="shared" si="1"/>
        <v>Standard</v>
      </c>
    </row>
    <row r="16" spans="1:14" x14ac:dyDescent="0.3">
      <c r="A16" s="3" t="str">
        <f>ledger!A16</f>
        <v>TXN100014</v>
      </c>
      <c r="B16" s="3">
        <f>ledger!C16</f>
        <v>13</v>
      </c>
      <c r="C16" s="4" t="str">
        <f>IFERROR(VLOOKUP(B16, merchants!$A$2:$D$41, 2, FALSE), "Merchant not found")</f>
        <v>Merchant_013</v>
      </c>
      <c r="D16" s="3" t="str">
        <f>IFERROR(VLOOKUP(B16, merchants!$A$2:$D$41, 3, FALSE), "Merchant not found")</f>
        <v>travel</v>
      </c>
      <c r="E16" s="3" t="str">
        <f>IFERROR(VLOOKUP(B16, merchants!$A$2:$D$41, 4, FALSE), "Merchant not found")</f>
        <v>East</v>
      </c>
      <c r="F16" s="4">
        <f>ledger!D16</f>
        <v>46036.022916666669</v>
      </c>
      <c r="G16" s="5">
        <f>ledger!I16</f>
        <v>46036</v>
      </c>
      <c r="H16" s="3">
        <f>ledger!E16</f>
        <v>1499</v>
      </c>
      <c r="I16" s="3" t="str">
        <f>ledger!F16</f>
        <v>UPI</v>
      </c>
      <c r="J16" s="3" t="str">
        <f>ledger!G16</f>
        <v>captured</v>
      </c>
      <c r="K16" s="9">
        <f>HLOOKUP(I16,Fee!$B$1:$E$2,2,FALSE())</f>
        <v>5.0000000000000001E-3</v>
      </c>
      <c r="L16" s="12">
        <f t="shared" si="0"/>
        <v>7.4950000000000001</v>
      </c>
      <c r="M16" s="3">
        <f>SUMIFS(ledger!$E$2:$E$548, ledger!$C$2:$C$548, B16, ledger!$I$2:$I$548, G16)</f>
        <v>1499</v>
      </c>
      <c r="N16" s="3" t="str">
        <f t="shared" si="1"/>
        <v>Standard</v>
      </c>
    </row>
    <row r="17" spans="1:14" x14ac:dyDescent="0.3">
      <c r="A17" s="3" t="str">
        <f>ledger!A17</f>
        <v>TXN100015</v>
      </c>
      <c r="B17" s="3">
        <f>ledger!C17</f>
        <v>40</v>
      </c>
      <c r="C17" s="4" t="str">
        <f>IFERROR(VLOOKUP(B17, merchants!$A$2:$D$41, 2, FALSE), "Merchant not found")</f>
        <v>Merchant_040</v>
      </c>
      <c r="D17" s="3" t="str">
        <f>IFERROR(VLOOKUP(B17, merchants!$A$2:$D$41, 3, FALSE), "Merchant not found")</f>
        <v>entertainment</v>
      </c>
      <c r="E17" s="3" t="str">
        <f>IFERROR(VLOOKUP(B17, merchants!$A$2:$D$41, 4, FALSE), "Merchant not found")</f>
        <v>South</v>
      </c>
      <c r="F17" s="4">
        <f>ledger!D17</f>
        <v>46036.112500000003</v>
      </c>
      <c r="G17" s="5">
        <f>ledger!I17</f>
        <v>46036</v>
      </c>
      <c r="H17" s="3">
        <f>ledger!E17</f>
        <v>99</v>
      </c>
      <c r="I17" s="3" t="str">
        <f>ledger!F17</f>
        <v>UPI</v>
      </c>
      <c r="J17" s="3" t="str">
        <f>ledger!G17</f>
        <v>captured</v>
      </c>
      <c r="K17" s="9">
        <f>HLOOKUP(I17,Fee!$B$1:$E$2,2,FALSE())</f>
        <v>5.0000000000000001E-3</v>
      </c>
      <c r="L17" s="12">
        <f t="shared" si="0"/>
        <v>0.495</v>
      </c>
      <c r="M17" s="3">
        <f>SUMIFS(ledger!$E$2:$E$548, ledger!$C$2:$C$548, B17, ledger!$I$2:$I$548, G17)</f>
        <v>99</v>
      </c>
      <c r="N17" s="3" t="str">
        <f t="shared" si="1"/>
        <v>Standard</v>
      </c>
    </row>
    <row r="18" spans="1:14" x14ac:dyDescent="0.3">
      <c r="A18" s="3" t="str">
        <f>ledger!A18</f>
        <v>TXN100016</v>
      </c>
      <c r="B18" s="3">
        <f>ledger!C18</f>
        <v>33</v>
      </c>
      <c r="C18" s="4" t="str">
        <f>IFERROR(VLOOKUP(B18, merchants!$A$2:$D$41, 2, FALSE), "Merchant not found")</f>
        <v>Merchant_033</v>
      </c>
      <c r="D18" s="3" t="str">
        <f>IFERROR(VLOOKUP(B18, merchants!$A$2:$D$41, 3, FALSE), "Merchant not found")</f>
        <v>bill_payment</v>
      </c>
      <c r="E18" s="3" t="str">
        <f>IFERROR(VLOOKUP(B18, merchants!$A$2:$D$41, 4, FALSE), "Merchant not found")</f>
        <v>East</v>
      </c>
      <c r="F18" s="4">
        <f>ledger!D18</f>
        <v>46044.156944444447</v>
      </c>
      <c r="G18" s="5">
        <f>ledger!I18</f>
        <v>46044</v>
      </c>
      <c r="H18" s="3">
        <f>ledger!E18</f>
        <v>99</v>
      </c>
      <c r="I18" s="3" t="str">
        <f>ledger!F18</f>
        <v>Netbanking</v>
      </c>
      <c r="J18" s="3" t="str">
        <f>ledger!G18</f>
        <v>captured</v>
      </c>
      <c r="K18" s="9">
        <f>HLOOKUP(I18,Fee!$B$1:$E$2,2,FALSE())</f>
        <v>1.7999999999999999E-2</v>
      </c>
      <c r="L18" s="12">
        <f t="shared" si="0"/>
        <v>1.7819999999999998</v>
      </c>
      <c r="M18" s="3">
        <f>SUMIFS(ledger!$E$2:$E$548, ledger!$C$2:$C$548, B18, ledger!$I$2:$I$548, G18)</f>
        <v>99</v>
      </c>
      <c r="N18" s="3" t="str">
        <f t="shared" si="1"/>
        <v>Standard</v>
      </c>
    </row>
    <row r="19" spans="1:14" x14ac:dyDescent="0.3">
      <c r="A19" s="3" t="str">
        <f>ledger!A19</f>
        <v>TXN100017</v>
      </c>
      <c r="B19" s="3">
        <f>ledger!C19</f>
        <v>19</v>
      </c>
      <c r="C19" s="4" t="str">
        <f>IFERROR(VLOOKUP(B19, merchants!$A$2:$D$41, 2, FALSE), "Merchant not found")</f>
        <v>Merchant_019</v>
      </c>
      <c r="D19" s="3" t="str">
        <f>IFERROR(VLOOKUP(B19, merchants!$A$2:$D$41, 3, FALSE), "Merchant not found")</f>
        <v>grocery</v>
      </c>
      <c r="E19" s="3" t="str">
        <f>IFERROR(VLOOKUP(B19, merchants!$A$2:$D$41, 4, FALSE), "Merchant not found")</f>
        <v>North</v>
      </c>
      <c r="F19" s="4">
        <f>ledger!D19</f>
        <v>46044.555555555555</v>
      </c>
      <c r="G19" s="5">
        <f>ledger!I19</f>
        <v>46044</v>
      </c>
      <c r="H19" s="3">
        <f>ledger!E19</f>
        <v>2999</v>
      </c>
      <c r="I19" s="3" t="str">
        <f>ledger!F19</f>
        <v>Card</v>
      </c>
      <c r="J19" s="3" t="str">
        <f>ledger!G19</f>
        <v>captured</v>
      </c>
      <c r="K19" s="9">
        <f>HLOOKUP(I19,Fee!$B$1:$E$2,2,FALSE())</f>
        <v>0.02</v>
      </c>
      <c r="L19" s="12">
        <f t="shared" si="0"/>
        <v>59.980000000000004</v>
      </c>
      <c r="M19" s="3">
        <f>SUMIFS(ledger!$E$2:$E$548, ledger!$C$2:$C$548, B19, ledger!$I$2:$I$548, G19)</f>
        <v>2999</v>
      </c>
      <c r="N19" s="3" t="str">
        <f t="shared" si="1"/>
        <v>Standard</v>
      </c>
    </row>
    <row r="20" spans="1:14" x14ac:dyDescent="0.3">
      <c r="A20" s="3" t="str">
        <f>ledger!A20</f>
        <v>TXN100018</v>
      </c>
      <c r="B20" s="3">
        <f>ledger!C20</f>
        <v>25</v>
      </c>
      <c r="C20" s="4" t="str">
        <f>IFERROR(VLOOKUP(B20, merchants!$A$2:$D$41, 2, FALSE), "Merchant not found")</f>
        <v>Merchant_025</v>
      </c>
      <c r="D20" s="3" t="str">
        <f>IFERROR(VLOOKUP(B20, merchants!$A$2:$D$41, 3, FALSE), "Merchant not found")</f>
        <v>travel</v>
      </c>
      <c r="E20" s="3" t="str">
        <f>IFERROR(VLOOKUP(B20, merchants!$A$2:$D$41, 4, FALSE), "Merchant not found")</f>
        <v>South</v>
      </c>
      <c r="F20" s="4">
        <f>ledger!D20</f>
        <v>46027.268055555556</v>
      </c>
      <c r="G20" s="5">
        <f>ledger!I20</f>
        <v>46027</v>
      </c>
      <c r="H20" s="3">
        <f>ledger!E20</f>
        <v>2999</v>
      </c>
      <c r="I20" s="3" t="str">
        <f>ledger!F20</f>
        <v>UPI</v>
      </c>
      <c r="J20" s="3" t="str">
        <f>ledger!G20</f>
        <v>captured</v>
      </c>
      <c r="K20" s="9">
        <f>HLOOKUP(I20,Fee!$B$1:$E$2,2,FALSE())</f>
        <v>5.0000000000000001E-3</v>
      </c>
      <c r="L20" s="12">
        <f t="shared" si="0"/>
        <v>14.995000000000001</v>
      </c>
      <c r="M20" s="3">
        <f>SUMIFS(ledger!$E$2:$E$548, ledger!$C$2:$C$548, B20, ledger!$I$2:$I$548, G20)</f>
        <v>4498</v>
      </c>
      <c r="N20" s="3" t="str">
        <f t="shared" si="1"/>
        <v>Standard</v>
      </c>
    </row>
    <row r="21" spans="1:14" x14ac:dyDescent="0.3">
      <c r="A21" s="3" t="str">
        <f>ledger!A21</f>
        <v>TXN100019</v>
      </c>
      <c r="B21" s="3">
        <f>ledger!C21</f>
        <v>20</v>
      </c>
      <c r="C21" s="4" t="str">
        <f>IFERROR(VLOOKUP(B21, merchants!$A$2:$D$41, 2, FALSE), "Merchant not found")</f>
        <v>Merchant_020</v>
      </c>
      <c r="D21" s="3" t="str">
        <f>IFERROR(VLOOKUP(B21, merchants!$A$2:$D$41, 3, FALSE), "Merchant not found")</f>
        <v>food_delivery</v>
      </c>
      <c r="E21" s="3" t="str">
        <f>IFERROR(VLOOKUP(B21, merchants!$A$2:$D$41, 4, FALSE), "Merchant not found")</f>
        <v>East</v>
      </c>
      <c r="F21" s="4">
        <f>ledger!D21</f>
        <v>46046.23541666667</v>
      </c>
      <c r="G21" s="5">
        <f>ledger!I21</f>
        <v>46046</v>
      </c>
      <c r="H21" s="3">
        <f>ledger!E21</f>
        <v>49</v>
      </c>
      <c r="I21" s="3" t="str">
        <f>ledger!F21</f>
        <v>UPI</v>
      </c>
      <c r="J21" s="3" t="str">
        <f>ledger!G21</f>
        <v>captured</v>
      </c>
      <c r="K21" s="9">
        <f>HLOOKUP(I21,Fee!$B$1:$E$2,2,FALSE())</f>
        <v>5.0000000000000001E-3</v>
      </c>
      <c r="L21" s="12">
        <f t="shared" si="0"/>
        <v>0.245</v>
      </c>
      <c r="M21" s="3">
        <f>SUMIFS(ledger!$E$2:$E$548, ledger!$C$2:$C$548, B21, ledger!$I$2:$I$548, G21)</f>
        <v>49</v>
      </c>
      <c r="N21" s="3" t="str">
        <f t="shared" si="1"/>
        <v>Standard</v>
      </c>
    </row>
    <row r="22" spans="1:14" x14ac:dyDescent="0.3">
      <c r="A22" s="3" t="str">
        <f>ledger!A22</f>
        <v>TXN100020</v>
      </c>
      <c r="B22" s="3">
        <f>ledger!C22</f>
        <v>14</v>
      </c>
      <c r="C22" s="4" t="str">
        <f>IFERROR(VLOOKUP(B22, merchants!$A$2:$D$41, 2, FALSE), "Merchant not found")</f>
        <v>Merchant_014</v>
      </c>
      <c r="D22" s="3" t="str">
        <f>IFERROR(VLOOKUP(B22, merchants!$A$2:$D$41, 3, FALSE), "Merchant not found")</f>
        <v>grocery</v>
      </c>
      <c r="E22" s="3" t="str">
        <f>IFERROR(VLOOKUP(B22, merchants!$A$2:$D$41, 4, FALSE), "Merchant not found")</f>
        <v>East</v>
      </c>
      <c r="F22" s="4">
        <f>ledger!D22</f>
        <v>46040.013194444444</v>
      </c>
      <c r="G22" s="5">
        <f>ledger!I22</f>
        <v>46040</v>
      </c>
      <c r="H22" s="3">
        <f>ledger!E22</f>
        <v>99</v>
      </c>
      <c r="I22" s="3" t="str">
        <f>ledger!F22</f>
        <v>Card</v>
      </c>
      <c r="J22" s="3" t="str">
        <f>ledger!G22</f>
        <v>captured</v>
      </c>
      <c r="K22" s="9">
        <f>HLOOKUP(I22,Fee!$B$1:$E$2,2,FALSE())</f>
        <v>0.02</v>
      </c>
      <c r="L22" s="12">
        <f t="shared" si="0"/>
        <v>1.98</v>
      </c>
      <c r="M22" s="3">
        <f>SUMIFS(ledger!$E$2:$E$548, ledger!$C$2:$C$548, B22, ledger!$I$2:$I$548, G22)</f>
        <v>99</v>
      </c>
      <c r="N22" s="3" t="str">
        <f t="shared" si="1"/>
        <v>Standard</v>
      </c>
    </row>
    <row r="23" spans="1:14" x14ac:dyDescent="0.3">
      <c r="A23" s="3" t="str">
        <f>ledger!A23</f>
        <v>TXN100021</v>
      </c>
      <c r="B23" s="3">
        <f>ledger!C23</f>
        <v>21</v>
      </c>
      <c r="C23" s="4" t="str">
        <f>IFERROR(VLOOKUP(B23, merchants!$A$2:$D$41, 2, FALSE), "Merchant not found")</f>
        <v>Merchant_021</v>
      </c>
      <c r="D23" s="3" t="str">
        <f>IFERROR(VLOOKUP(B23, merchants!$A$2:$D$41, 3, FALSE), "Merchant not found")</f>
        <v>food_delivery</v>
      </c>
      <c r="E23" s="3" t="str">
        <f>IFERROR(VLOOKUP(B23, merchants!$A$2:$D$41, 4, FALSE), "Merchant not found")</f>
        <v>East</v>
      </c>
      <c r="F23" s="4">
        <f>ledger!D23</f>
        <v>46048.776388888888</v>
      </c>
      <c r="G23" s="5">
        <f>ledger!I23</f>
        <v>46048</v>
      </c>
      <c r="H23" s="3">
        <f>ledger!E23</f>
        <v>99</v>
      </c>
      <c r="I23" s="3" t="str">
        <f>ledger!F23</f>
        <v>UPI</v>
      </c>
      <c r="J23" s="3" t="str">
        <f>ledger!G23</f>
        <v>captured</v>
      </c>
      <c r="K23" s="9">
        <f>HLOOKUP(I23,Fee!$B$1:$E$2,2,FALSE())</f>
        <v>5.0000000000000001E-3</v>
      </c>
      <c r="L23" s="12">
        <f t="shared" si="0"/>
        <v>0.495</v>
      </c>
      <c r="M23" s="3">
        <f>SUMIFS(ledger!$E$2:$E$548, ledger!$C$2:$C$548, B23, ledger!$I$2:$I$548, G23)</f>
        <v>99</v>
      </c>
      <c r="N23" s="3" t="str">
        <f t="shared" si="1"/>
        <v>Standard</v>
      </c>
    </row>
    <row r="24" spans="1:14" x14ac:dyDescent="0.3">
      <c r="A24" s="3" t="str">
        <f>ledger!A24</f>
        <v>TXN100022</v>
      </c>
      <c r="B24" s="3">
        <f>ledger!C24</f>
        <v>33</v>
      </c>
      <c r="C24" s="4" t="str">
        <f>IFERROR(VLOOKUP(B24, merchants!$A$2:$D$41, 2, FALSE), "Merchant not found")</f>
        <v>Merchant_033</v>
      </c>
      <c r="D24" s="3" t="str">
        <f>IFERROR(VLOOKUP(B24, merchants!$A$2:$D$41, 3, FALSE), "Merchant not found")</f>
        <v>bill_payment</v>
      </c>
      <c r="E24" s="3" t="str">
        <f>IFERROR(VLOOKUP(B24, merchants!$A$2:$D$41, 4, FALSE), "Merchant not found")</f>
        <v>East</v>
      </c>
      <c r="F24" s="4">
        <f>ledger!D24</f>
        <v>46037.613194444442</v>
      </c>
      <c r="G24" s="5">
        <f>ledger!I24</f>
        <v>46037</v>
      </c>
      <c r="H24" s="3">
        <f>ledger!E24</f>
        <v>799</v>
      </c>
      <c r="I24" s="3" t="str">
        <f>ledger!F24</f>
        <v>UPI</v>
      </c>
      <c r="J24" s="3" t="str">
        <f>ledger!G24</f>
        <v>captured</v>
      </c>
      <c r="K24" s="9">
        <f>HLOOKUP(I24,Fee!$B$1:$E$2,2,FALSE())</f>
        <v>5.0000000000000001E-3</v>
      </c>
      <c r="L24" s="12">
        <f t="shared" si="0"/>
        <v>3.9950000000000001</v>
      </c>
      <c r="M24" s="3">
        <f>SUMIFS(ledger!$E$2:$E$548, ledger!$C$2:$C$548, B24, ledger!$I$2:$I$548, G24)</f>
        <v>799</v>
      </c>
      <c r="N24" s="3" t="str">
        <f t="shared" si="1"/>
        <v>Standard</v>
      </c>
    </row>
    <row r="25" spans="1:14" x14ac:dyDescent="0.3">
      <c r="A25" s="3" t="str">
        <f>ledger!A25</f>
        <v>TXN100023</v>
      </c>
      <c r="B25" s="3">
        <f>ledger!C25</f>
        <v>6</v>
      </c>
      <c r="C25" s="4" t="str">
        <f>IFERROR(VLOOKUP(B25, merchants!$A$2:$D$41, 2, FALSE), "Merchant not found")</f>
        <v>Merchant_006</v>
      </c>
      <c r="D25" s="3" t="str">
        <f>IFERROR(VLOOKUP(B25, merchants!$A$2:$D$41, 3, FALSE), "Merchant not found")</f>
        <v>food_delivery</v>
      </c>
      <c r="E25" s="3" t="str">
        <f>IFERROR(VLOOKUP(B25, merchants!$A$2:$D$41, 4, FALSE), "Merchant not found")</f>
        <v>South</v>
      </c>
      <c r="F25" s="4">
        <f>ledger!D25</f>
        <v>46048.965277777781</v>
      </c>
      <c r="G25" s="5">
        <f>ledger!I25</f>
        <v>46048</v>
      </c>
      <c r="H25" s="3">
        <f>ledger!E25</f>
        <v>799</v>
      </c>
      <c r="I25" s="3" t="str">
        <f>ledger!F25</f>
        <v>UPI</v>
      </c>
      <c r="J25" s="3" t="str">
        <f>ledger!G25</f>
        <v>chargeback</v>
      </c>
      <c r="K25" s="9">
        <f>HLOOKUP(I25,Fee!$B$1:$E$2,2,FALSE())</f>
        <v>5.0000000000000001E-3</v>
      </c>
      <c r="L25" s="12">
        <f t="shared" si="0"/>
        <v>3.9950000000000001</v>
      </c>
      <c r="M25" s="3">
        <f>SUMIFS(ledger!$E$2:$E$548, ledger!$C$2:$C$548, B25, ledger!$I$2:$I$548, G25)</f>
        <v>897</v>
      </c>
      <c r="N25" s="3" t="str">
        <f t="shared" si="1"/>
        <v>Standard</v>
      </c>
    </row>
    <row r="26" spans="1:14" x14ac:dyDescent="0.3">
      <c r="A26" s="3" t="str">
        <f>ledger!A26</f>
        <v>TXN100024</v>
      </c>
      <c r="B26" s="3">
        <f>ledger!C26</f>
        <v>22</v>
      </c>
      <c r="C26" s="4" t="str">
        <f>IFERROR(VLOOKUP(B26, merchants!$A$2:$D$41, 2, FALSE), "Merchant not found")</f>
        <v>Merchant_022</v>
      </c>
      <c r="D26" s="3" t="str">
        <f>IFERROR(VLOOKUP(B26, merchants!$A$2:$D$41, 3, FALSE), "Merchant not found")</f>
        <v>travel</v>
      </c>
      <c r="E26" s="3" t="str">
        <f>IFERROR(VLOOKUP(B26, merchants!$A$2:$D$41, 4, FALSE), "Merchant not found")</f>
        <v>South</v>
      </c>
      <c r="F26" s="4">
        <f>ledger!D26</f>
        <v>46039.902777777781</v>
      </c>
      <c r="G26" s="5">
        <f>ledger!I26</f>
        <v>46039</v>
      </c>
      <c r="H26" s="3">
        <f>ledger!E26</f>
        <v>799</v>
      </c>
      <c r="I26" s="3" t="str">
        <f>ledger!F26</f>
        <v>Wallet</v>
      </c>
      <c r="J26" s="3" t="str">
        <f>ledger!G26</f>
        <v>captured</v>
      </c>
      <c r="K26" s="9">
        <f>HLOOKUP(I26,Fee!$B$1:$E$2,2,FALSE())</f>
        <v>1.4999999999999999E-2</v>
      </c>
      <c r="L26" s="12">
        <f t="shared" si="0"/>
        <v>11.984999999999999</v>
      </c>
      <c r="M26" s="3">
        <f>SUMIFS(ledger!$E$2:$E$548, ledger!$C$2:$C$548, B26, ledger!$I$2:$I$548, G26)</f>
        <v>1598</v>
      </c>
      <c r="N26" s="3" t="str">
        <f t="shared" si="1"/>
        <v>Standard</v>
      </c>
    </row>
    <row r="27" spans="1:14" x14ac:dyDescent="0.3">
      <c r="A27" s="3" t="str">
        <f>ledger!A27</f>
        <v>TXN100025</v>
      </c>
      <c r="B27" s="3">
        <f>ledger!C27</f>
        <v>15</v>
      </c>
      <c r="C27" s="4" t="str">
        <f>IFERROR(VLOOKUP(B27, merchants!$A$2:$D$41, 2, FALSE), "Merchant not found")</f>
        <v>Merchant_015</v>
      </c>
      <c r="D27" s="3" t="str">
        <f>IFERROR(VLOOKUP(B27, merchants!$A$2:$D$41, 3, FALSE), "Merchant not found")</f>
        <v>travel</v>
      </c>
      <c r="E27" s="3" t="str">
        <f>IFERROR(VLOOKUP(B27, merchants!$A$2:$D$41, 4, FALSE), "Merchant not found")</f>
        <v>North</v>
      </c>
      <c r="F27" s="4">
        <f>ledger!D27</f>
        <v>46049.321527777778</v>
      </c>
      <c r="G27" s="5">
        <f>ledger!I27</f>
        <v>46049</v>
      </c>
      <c r="H27" s="3">
        <f>ledger!E27</f>
        <v>799</v>
      </c>
      <c r="I27" s="3" t="str">
        <f>ledger!F27</f>
        <v>UPI</v>
      </c>
      <c r="J27" s="3" t="str">
        <f>ledger!G27</f>
        <v>captured</v>
      </c>
      <c r="K27" s="9">
        <f>HLOOKUP(I27,Fee!$B$1:$E$2,2,FALSE())</f>
        <v>5.0000000000000001E-3</v>
      </c>
      <c r="L27" s="12">
        <f t="shared" si="0"/>
        <v>3.9950000000000001</v>
      </c>
      <c r="M27" s="3">
        <f>SUMIFS(ledger!$E$2:$E$548, ledger!$C$2:$C$548, B27, ledger!$I$2:$I$548, G27)</f>
        <v>799</v>
      </c>
      <c r="N27" s="3" t="str">
        <f t="shared" si="1"/>
        <v>Standard</v>
      </c>
    </row>
    <row r="28" spans="1:14" x14ac:dyDescent="0.3">
      <c r="A28" s="3" t="str">
        <f>ledger!A28</f>
        <v>TXN100026</v>
      </c>
      <c r="B28" s="3">
        <f>ledger!C28</f>
        <v>31</v>
      </c>
      <c r="C28" s="4" t="str">
        <f>IFERROR(VLOOKUP(B28, merchants!$A$2:$D$41, 2, FALSE), "Merchant not found")</f>
        <v>Merchant_031</v>
      </c>
      <c r="D28" s="3" t="str">
        <f>IFERROR(VLOOKUP(B28, merchants!$A$2:$D$41, 3, FALSE), "Merchant not found")</f>
        <v>bill_payment</v>
      </c>
      <c r="E28" s="3" t="str">
        <f>IFERROR(VLOOKUP(B28, merchants!$A$2:$D$41, 4, FALSE), "Merchant not found")</f>
        <v>East</v>
      </c>
      <c r="F28" s="4">
        <f>ledger!D28</f>
        <v>46027.001388888886</v>
      </c>
      <c r="G28" s="5">
        <f>ledger!I28</f>
        <v>46027</v>
      </c>
      <c r="H28" s="3">
        <f>ledger!E28</f>
        <v>49</v>
      </c>
      <c r="I28" s="3" t="str">
        <f>ledger!F28</f>
        <v>Card</v>
      </c>
      <c r="J28" s="3" t="str">
        <f>ledger!G28</f>
        <v>captured</v>
      </c>
      <c r="K28" s="9">
        <f>HLOOKUP(I28,Fee!$B$1:$E$2,2,FALSE())</f>
        <v>0.02</v>
      </c>
      <c r="L28" s="12">
        <f t="shared" si="0"/>
        <v>0.98</v>
      </c>
      <c r="M28" s="3">
        <f>SUMIFS(ledger!$E$2:$E$548, ledger!$C$2:$C$548, B28, ledger!$I$2:$I$548, G28)</f>
        <v>49</v>
      </c>
      <c r="N28" s="3" t="str">
        <f t="shared" si="1"/>
        <v>Standard</v>
      </c>
    </row>
    <row r="29" spans="1:14" x14ac:dyDescent="0.3">
      <c r="A29" s="3" t="str">
        <f>ledger!A29</f>
        <v>TXN100027</v>
      </c>
      <c r="B29" s="3">
        <f>ledger!C29</f>
        <v>37</v>
      </c>
      <c r="C29" s="4" t="str">
        <f>IFERROR(VLOOKUP(B29, merchants!$A$2:$D$41, 2, FALSE), "Merchant not found")</f>
        <v>Merchant_037</v>
      </c>
      <c r="D29" s="3" t="str">
        <f>IFERROR(VLOOKUP(B29, merchants!$A$2:$D$41, 3, FALSE), "Merchant not found")</f>
        <v>entertainment</v>
      </c>
      <c r="E29" s="3" t="str">
        <f>IFERROR(VLOOKUP(B29, merchants!$A$2:$D$41, 4, FALSE), "Merchant not found")</f>
        <v>South</v>
      </c>
      <c r="F29" s="4">
        <f>ledger!D29</f>
        <v>46050.103472222225</v>
      </c>
      <c r="G29" s="5">
        <f>ledger!I29</f>
        <v>46050</v>
      </c>
      <c r="H29" s="3">
        <f>ledger!E29</f>
        <v>99</v>
      </c>
      <c r="I29" s="3" t="str">
        <f>ledger!F29</f>
        <v>UPI</v>
      </c>
      <c r="J29" s="3" t="str">
        <f>ledger!G29</f>
        <v>captured</v>
      </c>
      <c r="K29" s="9">
        <f>HLOOKUP(I29,Fee!$B$1:$E$2,2,FALSE())</f>
        <v>5.0000000000000001E-3</v>
      </c>
      <c r="L29" s="12">
        <f t="shared" si="0"/>
        <v>0.495</v>
      </c>
      <c r="M29" s="3">
        <f>SUMIFS(ledger!$E$2:$E$548, ledger!$C$2:$C$548, B29, ledger!$I$2:$I$548, G29)</f>
        <v>697</v>
      </c>
      <c r="N29" s="3" t="str">
        <f t="shared" si="1"/>
        <v>Standard</v>
      </c>
    </row>
    <row r="30" spans="1:14" x14ac:dyDescent="0.3">
      <c r="A30" s="3" t="str">
        <f>ledger!A30</f>
        <v>TXN100028</v>
      </c>
      <c r="B30" s="3">
        <f>ledger!C30</f>
        <v>26</v>
      </c>
      <c r="C30" s="4" t="str">
        <f>IFERROR(VLOOKUP(B30, merchants!$A$2:$D$41, 2, FALSE), "Merchant not found")</f>
        <v>Merchant_026</v>
      </c>
      <c r="D30" s="3" t="str">
        <f>IFERROR(VLOOKUP(B30, merchants!$A$2:$D$41, 3, FALSE), "Merchant not found")</f>
        <v>food_delivery</v>
      </c>
      <c r="E30" s="3" t="str">
        <f>IFERROR(VLOOKUP(B30, merchants!$A$2:$D$41, 4, FALSE), "Merchant not found")</f>
        <v>East</v>
      </c>
      <c r="F30" s="4">
        <f>ledger!D30</f>
        <v>46045.933333333334</v>
      </c>
      <c r="G30" s="5">
        <f>ledger!I30</f>
        <v>46045</v>
      </c>
      <c r="H30" s="3">
        <f>ledger!E30</f>
        <v>99</v>
      </c>
      <c r="I30" s="3" t="str">
        <f>ledger!F30</f>
        <v>Wallet</v>
      </c>
      <c r="J30" s="3" t="str">
        <f>ledger!G30</f>
        <v>captured</v>
      </c>
      <c r="K30" s="9">
        <f>HLOOKUP(I30,Fee!$B$1:$E$2,2,FALSE())</f>
        <v>1.4999999999999999E-2</v>
      </c>
      <c r="L30" s="12">
        <f t="shared" si="0"/>
        <v>1.4849999999999999</v>
      </c>
      <c r="M30" s="3">
        <f>SUMIFS(ledger!$E$2:$E$548, ledger!$C$2:$C$548, B30, ledger!$I$2:$I$548, G30)</f>
        <v>99</v>
      </c>
      <c r="N30" s="3" t="str">
        <f t="shared" si="1"/>
        <v>Standard</v>
      </c>
    </row>
    <row r="31" spans="1:14" x14ac:dyDescent="0.3">
      <c r="A31" s="3" t="str">
        <f>ledger!A31</f>
        <v>TXN100029</v>
      </c>
      <c r="B31" s="3">
        <f>ledger!C31</f>
        <v>7</v>
      </c>
      <c r="C31" s="4" t="str">
        <f>IFERROR(VLOOKUP(B31, merchants!$A$2:$D$41, 2, FALSE), "Merchant not found")</f>
        <v>Merchant_007</v>
      </c>
      <c r="D31" s="3" t="str">
        <f>IFERROR(VLOOKUP(B31, merchants!$A$2:$D$41, 3, FALSE), "Merchant not found")</f>
        <v>food_delivery</v>
      </c>
      <c r="E31" s="3" t="str">
        <f>IFERROR(VLOOKUP(B31, merchants!$A$2:$D$41, 4, FALSE), "Merchant not found")</f>
        <v>East</v>
      </c>
      <c r="F31" s="4">
        <f>ledger!D31</f>
        <v>46027.863888888889</v>
      </c>
      <c r="G31" s="5">
        <f>ledger!I31</f>
        <v>46027</v>
      </c>
      <c r="H31" s="3">
        <f>ledger!E31</f>
        <v>1499</v>
      </c>
      <c r="I31" s="3" t="str">
        <f>ledger!F31</f>
        <v>UPI</v>
      </c>
      <c r="J31" s="3" t="str">
        <f>ledger!G31</f>
        <v>captured</v>
      </c>
      <c r="K31" s="9">
        <f>HLOOKUP(I31,Fee!$B$1:$E$2,2,FALSE())</f>
        <v>5.0000000000000001E-3</v>
      </c>
      <c r="L31" s="12">
        <f t="shared" si="0"/>
        <v>7.4950000000000001</v>
      </c>
      <c r="M31" s="3">
        <f>SUMIFS(ledger!$E$2:$E$548, ledger!$C$2:$C$548, B31, ledger!$I$2:$I$548, G31)</f>
        <v>4498</v>
      </c>
      <c r="N31" s="3" t="str">
        <f t="shared" si="1"/>
        <v>Standard</v>
      </c>
    </row>
    <row r="32" spans="1:14" x14ac:dyDescent="0.3">
      <c r="A32" s="3" t="str">
        <f>ledger!A32</f>
        <v>TXN100030</v>
      </c>
      <c r="B32" s="3">
        <f>ledger!C32</f>
        <v>30</v>
      </c>
      <c r="C32" s="4" t="str">
        <f>IFERROR(VLOOKUP(B32, merchants!$A$2:$D$41, 2, FALSE), "Merchant not found")</f>
        <v>Merchant_030</v>
      </c>
      <c r="D32" s="3" t="str">
        <f>IFERROR(VLOOKUP(B32, merchants!$A$2:$D$41, 3, FALSE), "Merchant not found")</f>
        <v>travel</v>
      </c>
      <c r="E32" s="3" t="str">
        <f>IFERROR(VLOOKUP(B32, merchants!$A$2:$D$41, 4, FALSE), "Merchant not found")</f>
        <v>West</v>
      </c>
      <c r="F32" s="4">
        <f>ledger!D32</f>
        <v>46036.299305555556</v>
      </c>
      <c r="G32" s="5">
        <f>ledger!I32</f>
        <v>46036</v>
      </c>
      <c r="H32" s="3">
        <f>ledger!E32</f>
        <v>499</v>
      </c>
      <c r="I32" s="3" t="str">
        <f>ledger!F32</f>
        <v>Card</v>
      </c>
      <c r="J32" s="3" t="str">
        <f>ledger!G32</f>
        <v>captured</v>
      </c>
      <c r="K32" s="9">
        <f>HLOOKUP(I32,Fee!$B$1:$E$2,2,FALSE())</f>
        <v>0.02</v>
      </c>
      <c r="L32" s="12">
        <f t="shared" si="0"/>
        <v>9.98</v>
      </c>
      <c r="M32" s="3">
        <f>SUMIFS(ledger!$E$2:$E$548, ledger!$C$2:$C$548, B32, ledger!$I$2:$I$548, G32)</f>
        <v>2497</v>
      </c>
      <c r="N32" s="3" t="str">
        <f t="shared" si="1"/>
        <v>Standard</v>
      </c>
    </row>
    <row r="33" spans="1:14" x14ac:dyDescent="0.3">
      <c r="A33" s="3" t="str">
        <f>ledger!A33</f>
        <v>TXN100031</v>
      </c>
      <c r="B33" s="3">
        <f>ledger!C33</f>
        <v>30</v>
      </c>
      <c r="C33" s="4" t="str">
        <f>IFERROR(VLOOKUP(B33, merchants!$A$2:$D$41, 2, FALSE), "Merchant not found")</f>
        <v>Merchant_030</v>
      </c>
      <c r="D33" s="3" t="str">
        <f>IFERROR(VLOOKUP(B33, merchants!$A$2:$D$41, 3, FALSE), "Merchant not found")</f>
        <v>travel</v>
      </c>
      <c r="E33" s="3" t="str">
        <f>IFERROR(VLOOKUP(B33, merchants!$A$2:$D$41, 4, FALSE), "Merchant not found")</f>
        <v>West</v>
      </c>
      <c r="F33" s="4">
        <f>ledger!D33</f>
        <v>46040.331944444442</v>
      </c>
      <c r="G33" s="5">
        <f>ledger!I33</f>
        <v>46040</v>
      </c>
      <c r="H33" s="3">
        <f>ledger!E33</f>
        <v>799</v>
      </c>
      <c r="I33" s="3" t="str">
        <f>ledger!F33</f>
        <v>UPI</v>
      </c>
      <c r="J33" s="3" t="str">
        <f>ledger!G33</f>
        <v>captured</v>
      </c>
      <c r="K33" s="9">
        <f>HLOOKUP(I33,Fee!$B$1:$E$2,2,FALSE())</f>
        <v>5.0000000000000001E-3</v>
      </c>
      <c r="L33" s="12">
        <f t="shared" si="0"/>
        <v>3.9950000000000001</v>
      </c>
      <c r="M33" s="3">
        <f>SUMIFS(ledger!$E$2:$E$548, ledger!$C$2:$C$548, B33, ledger!$I$2:$I$548, G33)</f>
        <v>799</v>
      </c>
      <c r="N33" s="3" t="str">
        <f t="shared" si="1"/>
        <v>Standard</v>
      </c>
    </row>
    <row r="34" spans="1:14" x14ac:dyDescent="0.3">
      <c r="A34" s="3" t="str">
        <f>ledger!A34</f>
        <v>TXN100032</v>
      </c>
      <c r="B34" s="3">
        <f>ledger!C34</f>
        <v>36</v>
      </c>
      <c r="C34" s="4" t="str">
        <f>IFERROR(VLOOKUP(B34, merchants!$A$2:$D$41, 2, FALSE), "Merchant not found")</f>
        <v>Merchant_036</v>
      </c>
      <c r="D34" s="3" t="str">
        <f>IFERROR(VLOOKUP(B34, merchants!$A$2:$D$41, 3, FALSE), "Merchant not found")</f>
        <v>entertainment</v>
      </c>
      <c r="E34" s="3" t="str">
        <f>IFERROR(VLOOKUP(B34, merchants!$A$2:$D$41, 4, FALSE), "Merchant not found")</f>
        <v>East</v>
      </c>
      <c r="F34" s="4">
        <f>ledger!D34</f>
        <v>46048.612500000003</v>
      </c>
      <c r="G34" s="5">
        <f>ledger!I34</f>
        <v>46048</v>
      </c>
      <c r="H34" s="3">
        <f>ledger!E34</f>
        <v>149</v>
      </c>
      <c r="I34" s="3" t="str">
        <f>ledger!F34</f>
        <v>UPI</v>
      </c>
      <c r="J34" s="3" t="str">
        <f>ledger!G34</f>
        <v>captured</v>
      </c>
      <c r="K34" s="9">
        <f>HLOOKUP(I34,Fee!$B$1:$E$2,2,FALSE())</f>
        <v>5.0000000000000001E-3</v>
      </c>
      <c r="L34" s="12">
        <f t="shared" si="0"/>
        <v>0.745</v>
      </c>
      <c r="M34" s="3">
        <f>SUMIFS(ledger!$E$2:$E$548, ledger!$C$2:$C$548, B34, ledger!$I$2:$I$548, G34)</f>
        <v>198</v>
      </c>
      <c r="N34" s="3" t="str">
        <f t="shared" si="1"/>
        <v>Standard</v>
      </c>
    </row>
    <row r="35" spans="1:14" x14ac:dyDescent="0.3">
      <c r="A35" s="3" t="str">
        <f>ledger!A35</f>
        <v>TXN100033</v>
      </c>
      <c r="B35" s="3">
        <f>ledger!C35</f>
        <v>28</v>
      </c>
      <c r="C35" s="4" t="str">
        <f>IFERROR(VLOOKUP(B35, merchants!$A$2:$D$41, 2, FALSE), "Merchant not found")</f>
        <v>Merchant_028</v>
      </c>
      <c r="D35" s="3" t="str">
        <f>IFERROR(VLOOKUP(B35, merchants!$A$2:$D$41, 3, FALSE), "Merchant not found")</f>
        <v>ecommerce</v>
      </c>
      <c r="E35" s="3" t="str">
        <f>IFERROR(VLOOKUP(B35, merchants!$A$2:$D$41, 4, FALSE), "Merchant not found")</f>
        <v>South</v>
      </c>
      <c r="F35" s="4">
        <f>ledger!D35</f>
        <v>46033.61041666667</v>
      </c>
      <c r="G35" s="5">
        <f>ledger!I35</f>
        <v>46033</v>
      </c>
      <c r="H35" s="3">
        <f>ledger!E35</f>
        <v>49</v>
      </c>
      <c r="I35" s="3" t="str">
        <f>ledger!F35</f>
        <v>Wallet</v>
      </c>
      <c r="J35" s="3" t="str">
        <f>ledger!G35</f>
        <v>captured</v>
      </c>
      <c r="K35" s="9">
        <f>HLOOKUP(I35,Fee!$B$1:$E$2,2,FALSE())</f>
        <v>1.4999999999999999E-2</v>
      </c>
      <c r="L35" s="12">
        <f t="shared" si="0"/>
        <v>0.73499999999999999</v>
      </c>
      <c r="M35" s="3">
        <f>SUMIFS(ledger!$E$2:$E$548, ledger!$C$2:$C$548, B35, ledger!$I$2:$I$548, G35)</f>
        <v>49</v>
      </c>
      <c r="N35" s="3" t="str">
        <f t="shared" si="1"/>
        <v>Standard</v>
      </c>
    </row>
    <row r="36" spans="1:14" x14ac:dyDescent="0.3">
      <c r="A36" s="3" t="str">
        <f>ledger!A36</f>
        <v>TXN100034</v>
      </c>
      <c r="B36" s="3">
        <f>ledger!C36</f>
        <v>29</v>
      </c>
      <c r="C36" s="4" t="str">
        <f>IFERROR(VLOOKUP(B36, merchants!$A$2:$D$41, 2, FALSE), "Merchant not found")</f>
        <v>Merchant_029</v>
      </c>
      <c r="D36" s="3" t="str">
        <f>IFERROR(VLOOKUP(B36, merchants!$A$2:$D$41, 3, FALSE), "Merchant not found")</f>
        <v>ecommerce</v>
      </c>
      <c r="E36" s="3" t="str">
        <f>IFERROR(VLOOKUP(B36, merchants!$A$2:$D$41, 4, FALSE), "Merchant not found")</f>
        <v>North</v>
      </c>
      <c r="F36" s="4">
        <f>ledger!D36</f>
        <v>46037.240972222222</v>
      </c>
      <c r="G36" s="5">
        <f>ledger!I36</f>
        <v>46037</v>
      </c>
      <c r="H36" s="3">
        <f>ledger!E36</f>
        <v>299</v>
      </c>
      <c r="I36" s="3" t="str">
        <f>ledger!F36</f>
        <v>Netbanking</v>
      </c>
      <c r="J36" s="3" t="str">
        <f>ledger!G36</f>
        <v>captured</v>
      </c>
      <c r="K36" s="9">
        <f>HLOOKUP(I36,Fee!$B$1:$E$2,2,FALSE())</f>
        <v>1.7999999999999999E-2</v>
      </c>
      <c r="L36" s="12">
        <f t="shared" si="0"/>
        <v>5.3819999999999997</v>
      </c>
      <c r="M36" s="3">
        <f>SUMIFS(ledger!$E$2:$E$548, ledger!$C$2:$C$548, B36, ledger!$I$2:$I$548, G36)</f>
        <v>1098</v>
      </c>
      <c r="N36" s="3" t="str">
        <f t="shared" si="1"/>
        <v>Standard</v>
      </c>
    </row>
    <row r="37" spans="1:14" x14ac:dyDescent="0.3">
      <c r="A37" s="3" t="str">
        <f>ledger!A37</f>
        <v>TXN100035</v>
      </c>
      <c r="B37" s="3">
        <f>ledger!C37</f>
        <v>18</v>
      </c>
      <c r="C37" s="4" t="str">
        <f>IFERROR(VLOOKUP(B37, merchants!$A$2:$D$41, 2, FALSE), "Merchant not found")</f>
        <v>Merchant_018</v>
      </c>
      <c r="D37" s="3" t="str">
        <f>IFERROR(VLOOKUP(B37, merchants!$A$2:$D$41, 3, FALSE), "Merchant not found")</f>
        <v>grocery</v>
      </c>
      <c r="E37" s="3" t="str">
        <f>IFERROR(VLOOKUP(B37, merchants!$A$2:$D$41, 4, FALSE), "Merchant not found")</f>
        <v>West</v>
      </c>
      <c r="F37" s="4">
        <f>ledger!D37</f>
        <v>46047.328472222223</v>
      </c>
      <c r="G37" s="5">
        <f>ledger!I37</f>
        <v>46047</v>
      </c>
      <c r="H37" s="3">
        <f>ledger!E37</f>
        <v>149</v>
      </c>
      <c r="I37" s="3" t="str">
        <f>ledger!F37</f>
        <v>Card</v>
      </c>
      <c r="J37" s="3" t="str">
        <f>ledger!G37</f>
        <v>captured</v>
      </c>
      <c r="K37" s="9">
        <f>HLOOKUP(I37,Fee!$B$1:$E$2,2,FALSE())</f>
        <v>0.02</v>
      </c>
      <c r="L37" s="12">
        <f t="shared" si="0"/>
        <v>2.98</v>
      </c>
      <c r="M37" s="3">
        <f>SUMIFS(ledger!$E$2:$E$548, ledger!$C$2:$C$548, B37, ledger!$I$2:$I$548, G37)</f>
        <v>1648</v>
      </c>
      <c r="N37" s="3" t="str">
        <f t="shared" si="1"/>
        <v>Standard</v>
      </c>
    </row>
    <row r="38" spans="1:14" x14ac:dyDescent="0.3">
      <c r="A38" s="3" t="str">
        <f>ledger!A38</f>
        <v>TXN100036</v>
      </c>
      <c r="B38" s="3">
        <f>ledger!C38</f>
        <v>16</v>
      </c>
      <c r="C38" s="4" t="str">
        <f>IFERROR(VLOOKUP(B38, merchants!$A$2:$D$41, 2, FALSE), "Merchant not found")</f>
        <v>Merchant_016</v>
      </c>
      <c r="D38" s="3" t="str">
        <f>IFERROR(VLOOKUP(B38, merchants!$A$2:$D$41, 3, FALSE), "Merchant not found")</f>
        <v>bill_payment</v>
      </c>
      <c r="E38" s="3" t="str">
        <f>IFERROR(VLOOKUP(B38, merchants!$A$2:$D$41, 4, FALSE), "Merchant not found")</f>
        <v>West</v>
      </c>
      <c r="F38" s="4">
        <f>ledger!D38</f>
        <v>46047.688194444447</v>
      </c>
      <c r="G38" s="5">
        <f>ledger!I38</f>
        <v>46047</v>
      </c>
      <c r="H38" s="3">
        <f>ledger!E38</f>
        <v>49</v>
      </c>
      <c r="I38" s="3" t="str">
        <f>ledger!F38</f>
        <v>UPI</v>
      </c>
      <c r="J38" s="3" t="str">
        <f>ledger!G38</f>
        <v>captured</v>
      </c>
      <c r="K38" s="9">
        <f>HLOOKUP(I38,Fee!$B$1:$E$2,2,FALSE())</f>
        <v>5.0000000000000001E-3</v>
      </c>
      <c r="L38" s="12">
        <f t="shared" si="0"/>
        <v>0.245</v>
      </c>
      <c r="M38" s="3">
        <f>SUMIFS(ledger!$E$2:$E$548, ledger!$C$2:$C$548, B38, ledger!$I$2:$I$548, G38)</f>
        <v>98</v>
      </c>
      <c r="N38" s="3" t="str">
        <f t="shared" si="1"/>
        <v>Standard</v>
      </c>
    </row>
    <row r="39" spans="1:14" x14ac:dyDescent="0.3">
      <c r="A39" s="3" t="str">
        <f>ledger!A39</f>
        <v>TXN100037</v>
      </c>
      <c r="B39" s="3">
        <f>ledger!C39</f>
        <v>16</v>
      </c>
      <c r="C39" s="4" t="str">
        <f>IFERROR(VLOOKUP(B39, merchants!$A$2:$D$41, 2, FALSE), "Merchant not found")</f>
        <v>Merchant_016</v>
      </c>
      <c r="D39" s="3" t="str">
        <f>IFERROR(VLOOKUP(B39, merchants!$A$2:$D$41, 3, FALSE), "Merchant not found")</f>
        <v>bill_payment</v>
      </c>
      <c r="E39" s="3" t="str">
        <f>IFERROR(VLOOKUP(B39, merchants!$A$2:$D$41, 4, FALSE), "Merchant not found")</f>
        <v>West</v>
      </c>
      <c r="F39" s="4">
        <f>ledger!D39</f>
        <v>46037.114583333336</v>
      </c>
      <c r="G39" s="5">
        <f>ledger!I39</f>
        <v>46037</v>
      </c>
      <c r="H39" s="3">
        <f>ledger!E39</f>
        <v>2999</v>
      </c>
      <c r="I39" s="3" t="str">
        <f>ledger!F39</f>
        <v>Card</v>
      </c>
      <c r="J39" s="3" t="str">
        <f>ledger!G39</f>
        <v>captured</v>
      </c>
      <c r="K39" s="9">
        <f>HLOOKUP(I39,Fee!$B$1:$E$2,2,FALSE())</f>
        <v>0.02</v>
      </c>
      <c r="L39" s="12">
        <f t="shared" si="0"/>
        <v>59.980000000000004</v>
      </c>
      <c r="M39" s="3">
        <f>SUMIFS(ledger!$E$2:$E$548, ledger!$C$2:$C$548, B39, ledger!$I$2:$I$548, G39)</f>
        <v>2999</v>
      </c>
      <c r="N39" s="3" t="str">
        <f t="shared" si="1"/>
        <v>Standard</v>
      </c>
    </row>
    <row r="40" spans="1:14" x14ac:dyDescent="0.3">
      <c r="A40" s="3" t="str">
        <f>ledger!A40</f>
        <v>TXN100038</v>
      </c>
      <c r="B40" s="3">
        <f>ledger!C40</f>
        <v>6</v>
      </c>
      <c r="C40" s="4" t="str">
        <f>IFERROR(VLOOKUP(B40, merchants!$A$2:$D$41, 2, FALSE), "Merchant not found")</f>
        <v>Merchant_006</v>
      </c>
      <c r="D40" s="3" t="str">
        <f>IFERROR(VLOOKUP(B40, merchants!$A$2:$D$41, 3, FALSE), "Merchant not found")</f>
        <v>food_delivery</v>
      </c>
      <c r="E40" s="3" t="str">
        <f>IFERROR(VLOOKUP(B40, merchants!$A$2:$D$41, 4, FALSE), "Merchant not found")</f>
        <v>South</v>
      </c>
      <c r="F40" s="4">
        <f>ledger!D40</f>
        <v>46033.456250000003</v>
      </c>
      <c r="G40" s="5">
        <f>ledger!I40</f>
        <v>46033</v>
      </c>
      <c r="H40" s="3">
        <f>ledger!E40</f>
        <v>1499</v>
      </c>
      <c r="I40" s="3" t="str">
        <f>ledger!F40</f>
        <v>Card</v>
      </c>
      <c r="J40" s="3" t="str">
        <f>ledger!G40</f>
        <v>captured</v>
      </c>
      <c r="K40" s="9">
        <f>HLOOKUP(I40,Fee!$B$1:$E$2,2,FALSE())</f>
        <v>0.02</v>
      </c>
      <c r="L40" s="12">
        <f t="shared" si="0"/>
        <v>29.98</v>
      </c>
      <c r="M40" s="3">
        <f>SUMIFS(ledger!$E$2:$E$548, ledger!$C$2:$C$548, B40, ledger!$I$2:$I$548, G40)</f>
        <v>1499</v>
      </c>
      <c r="N40" s="3" t="str">
        <f t="shared" si="1"/>
        <v>Standard</v>
      </c>
    </row>
    <row r="41" spans="1:14" x14ac:dyDescent="0.3">
      <c r="A41" s="3" t="str">
        <f>ledger!A41</f>
        <v>TXN100039</v>
      </c>
      <c r="B41" s="3">
        <f>ledger!C41</f>
        <v>14</v>
      </c>
      <c r="C41" s="4" t="str">
        <f>IFERROR(VLOOKUP(B41, merchants!$A$2:$D$41, 2, FALSE), "Merchant not found")</f>
        <v>Merchant_014</v>
      </c>
      <c r="D41" s="3" t="str">
        <f>IFERROR(VLOOKUP(B41, merchants!$A$2:$D$41, 3, FALSE), "Merchant not found")</f>
        <v>grocery</v>
      </c>
      <c r="E41" s="3" t="str">
        <f>IFERROR(VLOOKUP(B41, merchants!$A$2:$D$41, 4, FALSE), "Merchant not found")</f>
        <v>East</v>
      </c>
      <c r="F41" s="4">
        <f>ledger!D41</f>
        <v>46027.308333333334</v>
      </c>
      <c r="G41" s="5">
        <f>ledger!I41</f>
        <v>46027</v>
      </c>
      <c r="H41" s="3">
        <f>ledger!E41</f>
        <v>1499</v>
      </c>
      <c r="I41" s="3" t="str">
        <f>ledger!F41</f>
        <v>UPI</v>
      </c>
      <c r="J41" s="3" t="str">
        <f>ledger!G41</f>
        <v>captured</v>
      </c>
      <c r="K41" s="9">
        <f>HLOOKUP(I41,Fee!$B$1:$E$2,2,FALSE())</f>
        <v>5.0000000000000001E-3</v>
      </c>
      <c r="L41" s="12">
        <f t="shared" si="0"/>
        <v>7.4950000000000001</v>
      </c>
      <c r="M41" s="3">
        <f>SUMIFS(ledger!$E$2:$E$548, ledger!$C$2:$C$548, B41, ledger!$I$2:$I$548, G41)</f>
        <v>1499</v>
      </c>
      <c r="N41" s="3" t="str">
        <f t="shared" si="1"/>
        <v>Standard</v>
      </c>
    </row>
    <row r="42" spans="1:14" x14ac:dyDescent="0.3">
      <c r="A42" s="3" t="str">
        <f>ledger!A42</f>
        <v>TXN100040</v>
      </c>
      <c r="B42" s="3">
        <f>ledger!C42</f>
        <v>30</v>
      </c>
      <c r="C42" s="4" t="str">
        <f>IFERROR(VLOOKUP(B42, merchants!$A$2:$D$41, 2, FALSE), "Merchant not found")</f>
        <v>Merchant_030</v>
      </c>
      <c r="D42" s="3" t="str">
        <f>IFERROR(VLOOKUP(B42, merchants!$A$2:$D$41, 3, FALSE), "Merchant not found")</f>
        <v>travel</v>
      </c>
      <c r="E42" s="3" t="str">
        <f>IFERROR(VLOOKUP(B42, merchants!$A$2:$D$41, 4, FALSE), "Merchant not found")</f>
        <v>West</v>
      </c>
      <c r="F42" s="4">
        <f>ledger!D42</f>
        <v>46036.556250000001</v>
      </c>
      <c r="G42" s="5">
        <f>ledger!I42</f>
        <v>46036</v>
      </c>
      <c r="H42" s="3">
        <f>ledger!E42</f>
        <v>1499</v>
      </c>
      <c r="I42" s="3" t="str">
        <f>ledger!F42</f>
        <v>UPI</v>
      </c>
      <c r="J42" s="3" t="str">
        <f>ledger!G42</f>
        <v>captured</v>
      </c>
      <c r="K42" s="9">
        <f>HLOOKUP(I42,Fee!$B$1:$E$2,2,FALSE())</f>
        <v>5.0000000000000001E-3</v>
      </c>
      <c r="L42" s="12">
        <f t="shared" si="0"/>
        <v>7.4950000000000001</v>
      </c>
      <c r="M42" s="3">
        <f>SUMIFS(ledger!$E$2:$E$548, ledger!$C$2:$C$548, B42, ledger!$I$2:$I$548, G42)</f>
        <v>2497</v>
      </c>
      <c r="N42" s="3" t="str">
        <f t="shared" si="1"/>
        <v>Standard</v>
      </c>
    </row>
    <row r="43" spans="1:14" x14ac:dyDescent="0.3">
      <c r="A43" s="3" t="str">
        <f>ledger!A43</f>
        <v>TXN100041</v>
      </c>
      <c r="B43" s="3">
        <f>ledger!C43</f>
        <v>25</v>
      </c>
      <c r="C43" s="4" t="str">
        <f>IFERROR(VLOOKUP(B43, merchants!$A$2:$D$41, 2, FALSE), "Merchant not found")</f>
        <v>Merchant_025</v>
      </c>
      <c r="D43" s="3" t="str">
        <f>IFERROR(VLOOKUP(B43, merchants!$A$2:$D$41, 3, FALSE), "Merchant not found")</f>
        <v>travel</v>
      </c>
      <c r="E43" s="3" t="str">
        <f>IFERROR(VLOOKUP(B43, merchants!$A$2:$D$41, 4, FALSE), "Merchant not found")</f>
        <v>South</v>
      </c>
      <c r="F43" s="4">
        <f>ledger!D43</f>
        <v>46024.286805555559</v>
      </c>
      <c r="G43" s="5">
        <f>ledger!I43</f>
        <v>46024</v>
      </c>
      <c r="H43" s="3">
        <f>ledger!E43</f>
        <v>99</v>
      </c>
      <c r="I43" s="3" t="str">
        <f>ledger!F43</f>
        <v>UPI</v>
      </c>
      <c r="J43" s="3" t="str">
        <f>ledger!G43</f>
        <v>captured</v>
      </c>
      <c r="K43" s="9">
        <f>HLOOKUP(I43,Fee!$B$1:$E$2,2,FALSE())</f>
        <v>5.0000000000000001E-3</v>
      </c>
      <c r="L43" s="12">
        <f t="shared" si="0"/>
        <v>0.495</v>
      </c>
      <c r="M43" s="3">
        <f>SUMIFS(ledger!$E$2:$E$548, ledger!$C$2:$C$548, B43, ledger!$I$2:$I$548, G43)</f>
        <v>99</v>
      </c>
      <c r="N43" s="3" t="str">
        <f t="shared" si="1"/>
        <v>Standard</v>
      </c>
    </row>
    <row r="44" spans="1:14" x14ac:dyDescent="0.3">
      <c r="A44" s="3" t="str">
        <f>ledger!A44</f>
        <v>TXN100042</v>
      </c>
      <c r="B44" s="3">
        <f>ledger!C44</f>
        <v>25</v>
      </c>
      <c r="C44" s="4" t="str">
        <f>IFERROR(VLOOKUP(B44, merchants!$A$2:$D$41, 2, FALSE), "Merchant not found")</f>
        <v>Merchant_025</v>
      </c>
      <c r="D44" s="3" t="str">
        <f>IFERROR(VLOOKUP(B44, merchants!$A$2:$D$41, 3, FALSE), "Merchant not found")</f>
        <v>travel</v>
      </c>
      <c r="E44" s="3" t="str">
        <f>IFERROR(VLOOKUP(B44, merchants!$A$2:$D$41, 4, FALSE), "Merchant not found")</f>
        <v>South</v>
      </c>
      <c r="F44" s="4">
        <f>ledger!D44</f>
        <v>46041.917361111111</v>
      </c>
      <c r="G44" s="5">
        <f>ledger!I44</f>
        <v>46041</v>
      </c>
      <c r="H44" s="3">
        <f>ledger!E44</f>
        <v>1499</v>
      </c>
      <c r="I44" s="3" t="str">
        <f>ledger!F44</f>
        <v>UPI</v>
      </c>
      <c r="J44" s="3" t="str">
        <f>ledger!G44</f>
        <v>captured</v>
      </c>
      <c r="K44" s="9">
        <f>HLOOKUP(I44,Fee!$B$1:$E$2,2,FALSE())</f>
        <v>5.0000000000000001E-3</v>
      </c>
      <c r="L44" s="12">
        <f t="shared" si="0"/>
        <v>7.4950000000000001</v>
      </c>
      <c r="M44" s="3">
        <f>SUMIFS(ledger!$E$2:$E$548, ledger!$C$2:$C$548, B44, ledger!$I$2:$I$548, G44)</f>
        <v>4498</v>
      </c>
      <c r="N44" s="3" t="str">
        <f t="shared" si="1"/>
        <v>Standard</v>
      </c>
    </row>
    <row r="45" spans="1:14" x14ac:dyDescent="0.3">
      <c r="A45" s="3" t="str">
        <f>ledger!A45</f>
        <v>TXN100043</v>
      </c>
      <c r="B45" s="3">
        <f>ledger!C45</f>
        <v>27</v>
      </c>
      <c r="C45" s="4" t="str">
        <f>IFERROR(VLOOKUP(B45, merchants!$A$2:$D$41, 2, FALSE), "Merchant not found")</f>
        <v>Merchant_027</v>
      </c>
      <c r="D45" s="3" t="str">
        <f>IFERROR(VLOOKUP(B45, merchants!$A$2:$D$41, 3, FALSE), "Merchant not found")</f>
        <v>ecommerce</v>
      </c>
      <c r="E45" s="3" t="str">
        <f>IFERROR(VLOOKUP(B45, merchants!$A$2:$D$41, 4, FALSE), "Merchant not found")</f>
        <v>North</v>
      </c>
      <c r="F45" s="4">
        <f>ledger!D45</f>
        <v>46023.47152777778</v>
      </c>
      <c r="G45" s="5">
        <f>ledger!I45</f>
        <v>46023</v>
      </c>
      <c r="H45" s="3">
        <f>ledger!E45</f>
        <v>149</v>
      </c>
      <c r="I45" s="3" t="str">
        <f>ledger!F45</f>
        <v>UPI</v>
      </c>
      <c r="J45" s="3" t="str">
        <f>ledger!G45</f>
        <v>captured</v>
      </c>
      <c r="K45" s="9">
        <f>HLOOKUP(I45,Fee!$B$1:$E$2,2,FALSE())</f>
        <v>5.0000000000000001E-3</v>
      </c>
      <c r="L45" s="12">
        <f t="shared" si="0"/>
        <v>0.745</v>
      </c>
      <c r="M45" s="3">
        <f>SUMIFS(ledger!$E$2:$E$548, ledger!$C$2:$C$548, B45, ledger!$I$2:$I$548, G45)</f>
        <v>149</v>
      </c>
      <c r="N45" s="3" t="str">
        <f t="shared" si="1"/>
        <v>Standard</v>
      </c>
    </row>
    <row r="46" spans="1:14" x14ac:dyDescent="0.3">
      <c r="A46" s="3" t="str">
        <f>ledger!A46</f>
        <v>TXN100044</v>
      </c>
      <c r="B46" s="3">
        <f>ledger!C46</f>
        <v>15</v>
      </c>
      <c r="C46" s="4" t="str">
        <f>IFERROR(VLOOKUP(B46, merchants!$A$2:$D$41, 2, FALSE), "Merchant not found")</f>
        <v>Merchant_015</v>
      </c>
      <c r="D46" s="3" t="str">
        <f>IFERROR(VLOOKUP(B46, merchants!$A$2:$D$41, 3, FALSE), "Merchant not found")</f>
        <v>travel</v>
      </c>
      <c r="E46" s="3" t="str">
        <f>IFERROR(VLOOKUP(B46, merchants!$A$2:$D$41, 4, FALSE), "Merchant not found")</f>
        <v>North</v>
      </c>
      <c r="F46" s="4">
        <f>ledger!D46</f>
        <v>46046.981944444444</v>
      </c>
      <c r="G46" s="5">
        <f>ledger!I46</f>
        <v>46046</v>
      </c>
      <c r="H46" s="3">
        <f>ledger!E46</f>
        <v>99</v>
      </c>
      <c r="I46" s="3" t="str">
        <f>ledger!F46</f>
        <v>Netbanking</v>
      </c>
      <c r="J46" s="3" t="str">
        <f>ledger!G46</f>
        <v>captured</v>
      </c>
      <c r="K46" s="9">
        <f>HLOOKUP(I46,Fee!$B$1:$E$2,2,FALSE())</f>
        <v>1.7999999999999999E-2</v>
      </c>
      <c r="L46" s="12">
        <f t="shared" si="0"/>
        <v>1.7819999999999998</v>
      </c>
      <c r="M46" s="3">
        <f>SUMIFS(ledger!$E$2:$E$548, ledger!$C$2:$C$548, B46, ledger!$I$2:$I$548, G46)</f>
        <v>148</v>
      </c>
      <c r="N46" s="3" t="str">
        <f t="shared" si="1"/>
        <v>Standard</v>
      </c>
    </row>
    <row r="47" spans="1:14" x14ac:dyDescent="0.3">
      <c r="A47" s="3" t="str">
        <f>ledger!A47</f>
        <v>TXN100045</v>
      </c>
      <c r="B47" s="3">
        <f>ledger!C47</f>
        <v>2</v>
      </c>
      <c r="C47" s="4" t="str">
        <f>IFERROR(VLOOKUP(B47, merchants!$A$2:$D$41, 2, FALSE), "Merchant not found")</f>
        <v>Merchant_002</v>
      </c>
      <c r="D47" s="3" t="str">
        <f>IFERROR(VLOOKUP(B47, merchants!$A$2:$D$41, 3, FALSE), "Merchant not found")</f>
        <v>grocery</v>
      </c>
      <c r="E47" s="3" t="str">
        <f>IFERROR(VLOOKUP(B47, merchants!$A$2:$D$41, 4, FALSE), "Merchant not found")</f>
        <v>West</v>
      </c>
      <c r="F47" s="4">
        <f>ledger!D47</f>
        <v>46030.352083333331</v>
      </c>
      <c r="G47" s="5">
        <f>ledger!I47</f>
        <v>46030</v>
      </c>
      <c r="H47" s="3">
        <f>ledger!E47</f>
        <v>299</v>
      </c>
      <c r="I47" s="3" t="str">
        <f>ledger!F47</f>
        <v>Wallet</v>
      </c>
      <c r="J47" s="3" t="str">
        <f>ledger!G47</f>
        <v>captured</v>
      </c>
      <c r="K47" s="9">
        <f>HLOOKUP(I47,Fee!$B$1:$E$2,2,FALSE())</f>
        <v>1.4999999999999999E-2</v>
      </c>
      <c r="L47" s="12">
        <f t="shared" si="0"/>
        <v>4.4849999999999994</v>
      </c>
      <c r="M47" s="3">
        <f>SUMIFS(ledger!$E$2:$E$548, ledger!$C$2:$C$548, B47, ledger!$I$2:$I$548, G47)</f>
        <v>299</v>
      </c>
      <c r="N47" s="3" t="str">
        <f t="shared" si="1"/>
        <v>Standard</v>
      </c>
    </row>
    <row r="48" spans="1:14" x14ac:dyDescent="0.3">
      <c r="A48" s="3" t="str">
        <f>ledger!A48</f>
        <v>TXN100046</v>
      </c>
      <c r="B48" s="3">
        <f>ledger!C48</f>
        <v>11</v>
      </c>
      <c r="C48" s="4" t="str">
        <f>IFERROR(VLOOKUP(B48, merchants!$A$2:$D$41, 2, FALSE), "Merchant not found")</f>
        <v>Merchant_011</v>
      </c>
      <c r="D48" s="3" t="str">
        <f>IFERROR(VLOOKUP(B48, merchants!$A$2:$D$41, 3, FALSE), "Merchant not found")</f>
        <v>ecommerce</v>
      </c>
      <c r="E48" s="3" t="str">
        <f>IFERROR(VLOOKUP(B48, merchants!$A$2:$D$41, 4, FALSE), "Merchant not found")</f>
        <v>North</v>
      </c>
      <c r="F48" s="4">
        <f>ledger!D48</f>
        <v>46033.904861111114</v>
      </c>
      <c r="G48" s="5">
        <f>ledger!I48</f>
        <v>46033</v>
      </c>
      <c r="H48" s="3">
        <f>ledger!E48</f>
        <v>4999</v>
      </c>
      <c r="I48" s="3" t="str">
        <f>ledger!F48</f>
        <v>Netbanking</v>
      </c>
      <c r="J48" s="3" t="str">
        <f>ledger!G48</f>
        <v>captured</v>
      </c>
      <c r="K48" s="9">
        <f>HLOOKUP(I48,Fee!$B$1:$E$2,2,FALSE())</f>
        <v>1.7999999999999999E-2</v>
      </c>
      <c r="L48" s="12">
        <f t="shared" si="0"/>
        <v>89.981999999999999</v>
      </c>
      <c r="M48" s="3">
        <f>SUMIFS(ledger!$E$2:$E$548, ledger!$C$2:$C$548, B48, ledger!$I$2:$I$548, G48)</f>
        <v>4999</v>
      </c>
      <c r="N48" s="3" t="str">
        <f t="shared" si="1"/>
        <v>Standard</v>
      </c>
    </row>
    <row r="49" spans="1:14" x14ac:dyDescent="0.3">
      <c r="A49" s="3" t="str">
        <f>ledger!A49</f>
        <v>TXN100047</v>
      </c>
      <c r="B49" s="3">
        <f>ledger!C49</f>
        <v>2</v>
      </c>
      <c r="C49" s="4" t="str">
        <f>IFERROR(VLOOKUP(B49, merchants!$A$2:$D$41, 2, FALSE), "Merchant not found")</f>
        <v>Merchant_002</v>
      </c>
      <c r="D49" s="3" t="str">
        <f>IFERROR(VLOOKUP(B49, merchants!$A$2:$D$41, 3, FALSE), "Merchant not found")</f>
        <v>grocery</v>
      </c>
      <c r="E49" s="3" t="str">
        <f>IFERROR(VLOOKUP(B49, merchants!$A$2:$D$41, 4, FALSE), "Merchant not found")</f>
        <v>West</v>
      </c>
      <c r="F49" s="4">
        <f>ledger!D49</f>
        <v>46052.193749999999</v>
      </c>
      <c r="G49" s="5">
        <f>ledger!I49</f>
        <v>46052</v>
      </c>
      <c r="H49" s="3">
        <f>ledger!E49</f>
        <v>299</v>
      </c>
      <c r="I49" s="3" t="str">
        <f>ledger!F49</f>
        <v>UPI</v>
      </c>
      <c r="J49" s="3" t="str">
        <f>ledger!G49</f>
        <v>captured</v>
      </c>
      <c r="K49" s="9">
        <f>HLOOKUP(I49,Fee!$B$1:$E$2,2,FALSE())</f>
        <v>5.0000000000000001E-3</v>
      </c>
      <c r="L49" s="12">
        <f t="shared" si="0"/>
        <v>1.4950000000000001</v>
      </c>
      <c r="M49" s="3">
        <f>SUMIFS(ledger!$E$2:$E$548, ledger!$C$2:$C$548, B49, ledger!$I$2:$I$548, G49)</f>
        <v>299</v>
      </c>
      <c r="N49" s="3" t="str">
        <f t="shared" si="1"/>
        <v>Standard</v>
      </c>
    </row>
    <row r="50" spans="1:14" x14ac:dyDescent="0.3">
      <c r="A50" s="3" t="str">
        <f>ledger!A50</f>
        <v>TXN100048</v>
      </c>
      <c r="B50" s="3">
        <f>ledger!C50</f>
        <v>6</v>
      </c>
      <c r="C50" s="4" t="str">
        <f>IFERROR(VLOOKUP(B50, merchants!$A$2:$D$41, 2, FALSE), "Merchant not found")</f>
        <v>Merchant_006</v>
      </c>
      <c r="D50" s="3" t="str">
        <f>IFERROR(VLOOKUP(B50, merchants!$A$2:$D$41, 3, FALSE), "Merchant not found")</f>
        <v>food_delivery</v>
      </c>
      <c r="E50" s="3" t="str">
        <f>IFERROR(VLOOKUP(B50, merchants!$A$2:$D$41, 4, FALSE), "Merchant not found")</f>
        <v>South</v>
      </c>
      <c r="F50" s="4">
        <f>ledger!D50</f>
        <v>46041.779166666667</v>
      </c>
      <c r="G50" s="5">
        <f>ledger!I50</f>
        <v>46041</v>
      </c>
      <c r="H50" s="3">
        <f>ledger!E50</f>
        <v>49</v>
      </c>
      <c r="I50" s="3" t="str">
        <f>ledger!F50</f>
        <v>Wallet</v>
      </c>
      <c r="J50" s="3" t="str">
        <f>ledger!G50</f>
        <v>captured</v>
      </c>
      <c r="K50" s="9">
        <f>HLOOKUP(I50,Fee!$B$1:$E$2,2,FALSE())</f>
        <v>1.4999999999999999E-2</v>
      </c>
      <c r="L50" s="12">
        <f t="shared" si="0"/>
        <v>0.73499999999999999</v>
      </c>
      <c r="M50" s="3">
        <f>SUMIFS(ledger!$E$2:$E$548, ledger!$C$2:$C$548, B50, ledger!$I$2:$I$548, G50)</f>
        <v>49</v>
      </c>
      <c r="N50" s="3" t="str">
        <f t="shared" si="1"/>
        <v>Standard</v>
      </c>
    </row>
    <row r="51" spans="1:14" x14ac:dyDescent="0.3">
      <c r="A51" s="3" t="str">
        <f>ledger!A51</f>
        <v>TXN100049</v>
      </c>
      <c r="B51" s="3">
        <f>ledger!C51</f>
        <v>12</v>
      </c>
      <c r="C51" s="4" t="str">
        <f>IFERROR(VLOOKUP(B51, merchants!$A$2:$D$41, 2, FALSE), "Merchant not found")</f>
        <v>Merchant_012</v>
      </c>
      <c r="D51" s="3" t="str">
        <f>IFERROR(VLOOKUP(B51, merchants!$A$2:$D$41, 3, FALSE), "Merchant not found")</f>
        <v>ecommerce</v>
      </c>
      <c r="E51" s="3" t="str">
        <f>IFERROR(VLOOKUP(B51, merchants!$A$2:$D$41, 4, FALSE), "Merchant not found")</f>
        <v>East</v>
      </c>
      <c r="F51" s="4">
        <f>ledger!D51</f>
        <v>46036.204861111109</v>
      </c>
      <c r="G51" s="5">
        <f>ledger!I51</f>
        <v>46036</v>
      </c>
      <c r="H51" s="3">
        <f>ledger!E51</f>
        <v>49</v>
      </c>
      <c r="I51" s="3" t="str">
        <f>ledger!F51</f>
        <v>UPI</v>
      </c>
      <c r="J51" s="3" t="str">
        <f>ledger!G51</f>
        <v>captured</v>
      </c>
      <c r="K51" s="9">
        <f>HLOOKUP(I51,Fee!$B$1:$E$2,2,FALSE())</f>
        <v>5.0000000000000001E-3</v>
      </c>
      <c r="L51" s="12">
        <f t="shared" si="0"/>
        <v>0.245</v>
      </c>
      <c r="M51" s="3">
        <f>SUMIFS(ledger!$E$2:$E$548, ledger!$C$2:$C$548, B51, ledger!$I$2:$I$548, G51)</f>
        <v>548</v>
      </c>
      <c r="N51" s="3" t="str">
        <f t="shared" si="1"/>
        <v>Standard</v>
      </c>
    </row>
    <row r="52" spans="1:14" x14ac:dyDescent="0.3">
      <c r="A52" s="3" t="str">
        <f>ledger!A52</f>
        <v>TXN100050</v>
      </c>
      <c r="B52" s="3">
        <f>ledger!C52</f>
        <v>30</v>
      </c>
      <c r="C52" s="4" t="str">
        <f>IFERROR(VLOOKUP(B52, merchants!$A$2:$D$41, 2, FALSE), "Merchant not found")</f>
        <v>Merchant_030</v>
      </c>
      <c r="D52" s="3" t="str">
        <f>IFERROR(VLOOKUP(B52, merchants!$A$2:$D$41, 3, FALSE), "Merchant not found")</f>
        <v>travel</v>
      </c>
      <c r="E52" s="3" t="str">
        <f>IFERROR(VLOOKUP(B52, merchants!$A$2:$D$41, 4, FALSE), "Merchant not found")</f>
        <v>West</v>
      </c>
      <c r="F52" s="4">
        <f>ledger!D52</f>
        <v>46031.513888888891</v>
      </c>
      <c r="G52" s="5">
        <f>ledger!I52</f>
        <v>46031</v>
      </c>
      <c r="H52" s="3">
        <f>ledger!E52</f>
        <v>99</v>
      </c>
      <c r="I52" s="3" t="str">
        <f>ledger!F52</f>
        <v>UPI</v>
      </c>
      <c r="J52" s="3" t="str">
        <f>ledger!G52</f>
        <v>captured</v>
      </c>
      <c r="K52" s="9">
        <f>HLOOKUP(I52,Fee!$B$1:$E$2,2,FALSE())</f>
        <v>5.0000000000000001E-3</v>
      </c>
      <c r="L52" s="12">
        <f t="shared" si="0"/>
        <v>0.495</v>
      </c>
      <c r="M52" s="3">
        <f>SUMIFS(ledger!$E$2:$E$548, ledger!$C$2:$C$548, B52, ledger!$I$2:$I$548, G52)</f>
        <v>99</v>
      </c>
      <c r="N52" s="3" t="str">
        <f t="shared" si="1"/>
        <v>Standard</v>
      </c>
    </row>
    <row r="53" spans="1:14" x14ac:dyDescent="0.3">
      <c r="A53" s="3" t="str">
        <f>ledger!A53</f>
        <v>TXN100051</v>
      </c>
      <c r="B53" s="3">
        <f>ledger!C53</f>
        <v>17</v>
      </c>
      <c r="C53" s="4" t="str">
        <f>IFERROR(VLOOKUP(B53, merchants!$A$2:$D$41, 2, FALSE), "Merchant not found")</f>
        <v>Merchant_017</v>
      </c>
      <c r="D53" s="3" t="str">
        <f>IFERROR(VLOOKUP(B53, merchants!$A$2:$D$41, 3, FALSE), "Merchant not found")</f>
        <v>grocery</v>
      </c>
      <c r="E53" s="3" t="str">
        <f>IFERROR(VLOOKUP(B53, merchants!$A$2:$D$41, 4, FALSE), "Merchant not found")</f>
        <v>North</v>
      </c>
      <c r="F53" s="4">
        <f>ledger!D53</f>
        <v>46033.511805555558</v>
      </c>
      <c r="G53" s="5">
        <f>ledger!I53</f>
        <v>46033</v>
      </c>
      <c r="H53" s="3">
        <f>ledger!E53</f>
        <v>4999</v>
      </c>
      <c r="I53" s="3" t="str">
        <f>ledger!F53</f>
        <v>UPI</v>
      </c>
      <c r="J53" s="3" t="str">
        <f>ledger!G53</f>
        <v>captured</v>
      </c>
      <c r="K53" s="9">
        <f>HLOOKUP(I53,Fee!$B$1:$E$2,2,FALSE())</f>
        <v>5.0000000000000001E-3</v>
      </c>
      <c r="L53" s="12">
        <f t="shared" si="0"/>
        <v>24.995000000000001</v>
      </c>
      <c r="M53" s="3">
        <f>SUMIFS(ledger!$E$2:$E$548, ledger!$C$2:$C$548, B53, ledger!$I$2:$I$548, G53)</f>
        <v>7998</v>
      </c>
      <c r="N53" s="3" t="str">
        <f t="shared" si="1"/>
        <v>High Value</v>
      </c>
    </row>
    <row r="54" spans="1:14" x14ac:dyDescent="0.3">
      <c r="A54" s="3" t="str">
        <f>ledger!A54</f>
        <v>TXN100052</v>
      </c>
      <c r="B54" s="3">
        <f>ledger!C54</f>
        <v>4</v>
      </c>
      <c r="C54" s="4" t="str">
        <f>IFERROR(VLOOKUP(B54, merchants!$A$2:$D$41, 2, FALSE), "Merchant not found")</f>
        <v>Merchant_004</v>
      </c>
      <c r="D54" s="3" t="str">
        <f>IFERROR(VLOOKUP(B54, merchants!$A$2:$D$41, 3, FALSE), "Merchant not found")</f>
        <v>ecommerce</v>
      </c>
      <c r="E54" s="3" t="str">
        <f>IFERROR(VLOOKUP(B54, merchants!$A$2:$D$41, 4, FALSE), "Merchant not found")</f>
        <v>East</v>
      </c>
      <c r="F54" s="4">
        <f>ledger!D54</f>
        <v>46038.032638888886</v>
      </c>
      <c r="G54" s="5">
        <f>ledger!I54</f>
        <v>46038</v>
      </c>
      <c r="H54" s="3">
        <f>ledger!E54</f>
        <v>799</v>
      </c>
      <c r="I54" s="3" t="str">
        <f>ledger!F54</f>
        <v>UPI</v>
      </c>
      <c r="J54" s="3" t="str">
        <f>ledger!G54</f>
        <v>captured</v>
      </c>
      <c r="K54" s="9">
        <f>HLOOKUP(I54,Fee!$B$1:$E$2,2,FALSE())</f>
        <v>5.0000000000000001E-3</v>
      </c>
      <c r="L54" s="12">
        <f t="shared" si="0"/>
        <v>3.9950000000000001</v>
      </c>
      <c r="M54" s="3">
        <f>SUMIFS(ledger!$E$2:$E$548, ledger!$C$2:$C$548, B54, ledger!$I$2:$I$548, G54)</f>
        <v>799</v>
      </c>
      <c r="N54" s="3" t="str">
        <f t="shared" si="1"/>
        <v>Standard</v>
      </c>
    </row>
    <row r="55" spans="1:14" x14ac:dyDescent="0.3">
      <c r="A55" s="3" t="str">
        <f>ledger!A55</f>
        <v>TXN100053</v>
      </c>
      <c r="B55" s="3">
        <f>ledger!C55</f>
        <v>3</v>
      </c>
      <c r="C55" s="4" t="str">
        <f>IFERROR(VLOOKUP(B55, merchants!$A$2:$D$41, 2, FALSE), "Merchant not found")</f>
        <v>Merchant_003</v>
      </c>
      <c r="D55" s="3" t="str">
        <f>IFERROR(VLOOKUP(B55, merchants!$A$2:$D$41, 3, FALSE), "Merchant not found")</f>
        <v>grocery</v>
      </c>
      <c r="E55" s="3" t="str">
        <f>IFERROR(VLOOKUP(B55, merchants!$A$2:$D$41, 4, FALSE), "Merchant not found")</f>
        <v>East</v>
      </c>
      <c r="F55" s="4">
        <f>ledger!D55</f>
        <v>46030.836111111108</v>
      </c>
      <c r="G55" s="5">
        <f>ledger!I55</f>
        <v>46030</v>
      </c>
      <c r="H55" s="3">
        <f>ledger!E55</f>
        <v>149</v>
      </c>
      <c r="I55" s="3" t="str">
        <f>ledger!F55</f>
        <v>Wallet</v>
      </c>
      <c r="J55" s="3" t="str">
        <f>ledger!G55</f>
        <v>captured</v>
      </c>
      <c r="K55" s="9">
        <f>HLOOKUP(I55,Fee!$B$1:$E$2,2,FALSE())</f>
        <v>1.4999999999999999E-2</v>
      </c>
      <c r="L55" s="12">
        <f t="shared" si="0"/>
        <v>2.2349999999999999</v>
      </c>
      <c r="M55" s="3">
        <f>SUMIFS(ledger!$E$2:$E$548, ledger!$C$2:$C$548, B55, ledger!$I$2:$I$548, G55)</f>
        <v>149</v>
      </c>
      <c r="N55" s="3" t="str">
        <f t="shared" si="1"/>
        <v>Standard</v>
      </c>
    </row>
    <row r="56" spans="1:14" x14ac:dyDescent="0.3">
      <c r="A56" s="3" t="str">
        <f>ledger!A56</f>
        <v>TXN100054</v>
      </c>
      <c r="B56" s="3">
        <f>ledger!C56</f>
        <v>40</v>
      </c>
      <c r="C56" s="4" t="str">
        <f>IFERROR(VLOOKUP(B56, merchants!$A$2:$D$41, 2, FALSE), "Merchant not found")</f>
        <v>Merchant_040</v>
      </c>
      <c r="D56" s="3" t="str">
        <f>IFERROR(VLOOKUP(B56, merchants!$A$2:$D$41, 3, FALSE), "Merchant not found")</f>
        <v>entertainment</v>
      </c>
      <c r="E56" s="3" t="str">
        <f>IFERROR(VLOOKUP(B56, merchants!$A$2:$D$41, 4, FALSE), "Merchant not found")</f>
        <v>South</v>
      </c>
      <c r="F56" s="4">
        <f>ledger!D56</f>
        <v>46023.3</v>
      </c>
      <c r="G56" s="5">
        <f>ledger!I56</f>
        <v>46023</v>
      </c>
      <c r="H56" s="3">
        <f>ledger!E56</f>
        <v>299</v>
      </c>
      <c r="I56" s="3" t="str">
        <f>ledger!F56</f>
        <v>UPI</v>
      </c>
      <c r="J56" s="3" t="str">
        <f>ledger!G56</f>
        <v>captured</v>
      </c>
      <c r="K56" s="9">
        <f>HLOOKUP(I56,Fee!$B$1:$E$2,2,FALSE())</f>
        <v>5.0000000000000001E-3</v>
      </c>
      <c r="L56" s="12">
        <f t="shared" si="0"/>
        <v>1.4950000000000001</v>
      </c>
      <c r="M56" s="3">
        <f>SUMIFS(ledger!$E$2:$E$548, ledger!$C$2:$C$548, B56, ledger!$I$2:$I$548, G56)</f>
        <v>299</v>
      </c>
      <c r="N56" s="3" t="str">
        <f t="shared" si="1"/>
        <v>Standard</v>
      </c>
    </row>
    <row r="57" spans="1:14" x14ac:dyDescent="0.3">
      <c r="A57" s="3" t="str">
        <f>ledger!A57</f>
        <v>TXN100055</v>
      </c>
      <c r="B57" s="3">
        <f>ledger!C57</f>
        <v>8</v>
      </c>
      <c r="C57" s="4" t="str">
        <f>IFERROR(VLOOKUP(B57, merchants!$A$2:$D$41, 2, FALSE), "Merchant not found")</f>
        <v>Merchant_008</v>
      </c>
      <c r="D57" s="3" t="str">
        <f>IFERROR(VLOOKUP(B57, merchants!$A$2:$D$41, 3, FALSE), "Merchant not found")</f>
        <v>food_delivery</v>
      </c>
      <c r="E57" s="3" t="str">
        <f>IFERROR(VLOOKUP(B57, merchants!$A$2:$D$41, 4, FALSE), "Merchant not found")</f>
        <v>North</v>
      </c>
      <c r="F57" s="4">
        <f>ledger!D57</f>
        <v>46030.1875</v>
      </c>
      <c r="G57" s="5">
        <f>ledger!I57</f>
        <v>46030</v>
      </c>
      <c r="H57" s="3">
        <f>ledger!E57</f>
        <v>99</v>
      </c>
      <c r="I57" s="3" t="str">
        <f>ledger!F57</f>
        <v>UPI</v>
      </c>
      <c r="J57" s="3" t="str">
        <f>ledger!G57</f>
        <v>captured</v>
      </c>
      <c r="K57" s="9">
        <f>HLOOKUP(I57,Fee!$B$1:$E$2,2,FALSE())</f>
        <v>5.0000000000000001E-3</v>
      </c>
      <c r="L57" s="12">
        <f t="shared" si="0"/>
        <v>0.495</v>
      </c>
      <c r="M57" s="3">
        <f>SUMIFS(ledger!$E$2:$E$548, ledger!$C$2:$C$548, B57, ledger!$I$2:$I$548, G57)</f>
        <v>99</v>
      </c>
      <c r="N57" s="3" t="str">
        <f t="shared" si="1"/>
        <v>Standard</v>
      </c>
    </row>
    <row r="58" spans="1:14" x14ac:dyDescent="0.3">
      <c r="A58" s="3" t="str">
        <f>ledger!A58</f>
        <v>TXN100056</v>
      </c>
      <c r="B58" s="3">
        <f>ledger!C58</f>
        <v>24</v>
      </c>
      <c r="C58" s="4" t="str">
        <f>IFERROR(VLOOKUP(B58, merchants!$A$2:$D$41, 2, FALSE), "Merchant not found")</f>
        <v>Merchant_024</v>
      </c>
      <c r="D58" s="3" t="str">
        <f>IFERROR(VLOOKUP(B58, merchants!$A$2:$D$41, 3, FALSE), "Merchant not found")</f>
        <v>grocery</v>
      </c>
      <c r="E58" s="3" t="str">
        <f>IFERROR(VLOOKUP(B58, merchants!$A$2:$D$41, 4, FALSE), "Merchant not found")</f>
        <v>North</v>
      </c>
      <c r="F58" s="4">
        <f>ledger!D58</f>
        <v>46029.613888888889</v>
      </c>
      <c r="G58" s="5">
        <f>ledger!I58</f>
        <v>46029</v>
      </c>
      <c r="H58" s="3">
        <f>ledger!E58</f>
        <v>299</v>
      </c>
      <c r="I58" s="3" t="str">
        <f>ledger!F58</f>
        <v>Wallet</v>
      </c>
      <c r="J58" s="3" t="str">
        <f>ledger!G58</f>
        <v>captured</v>
      </c>
      <c r="K58" s="9">
        <f>HLOOKUP(I58,Fee!$B$1:$E$2,2,FALSE())</f>
        <v>1.4999999999999999E-2</v>
      </c>
      <c r="L58" s="12">
        <f t="shared" si="0"/>
        <v>4.4849999999999994</v>
      </c>
      <c r="M58" s="3">
        <f>SUMIFS(ledger!$E$2:$E$548, ledger!$C$2:$C$548, B58, ledger!$I$2:$I$548, G58)</f>
        <v>299</v>
      </c>
      <c r="N58" s="3" t="str">
        <f t="shared" si="1"/>
        <v>Standard</v>
      </c>
    </row>
    <row r="59" spans="1:14" x14ac:dyDescent="0.3">
      <c r="A59" s="3" t="str">
        <f>ledger!A59</f>
        <v>TXN100057</v>
      </c>
      <c r="B59" s="3">
        <f>ledger!C59</f>
        <v>11</v>
      </c>
      <c r="C59" s="4" t="str">
        <f>IFERROR(VLOOKUP(B59, merchants!$A$2:$D$41, 2, FALSE), "Merchant not found")</f>
        <v>Merchant_011</v>
      </c>
      <c r="D59" s="3" t="str">
        <f>IFERROR(VLOOKUP(B59, merchants!$A$2:$D$41, 3, FALSE), "Merchant not found")</f>
        <v>ecommerce</v>
      </c>
      <c r="E59" s="3" t="str">
        <f>IFERROR(VLOOKUP(B59, merchants!$A$2:$D$41, 4, FALSE), "Merchant not found")</f>
        <v>North</v>
      </c>
      <c r="F59" s="4">
        <f>ledger!D59</f>
        <v>46042.824305555558</v>
      </c>
      <c r="G59" s="5">
        <f>ledger!I59</f>
        <v>46042</v>
      </c>
      <c r="H59" s="3">
        <f>ledger!E59</f>
        <v>299</v>
      </c>
      <c r="I59" s="3" t="str">
        <f>ledger!F59</f>
        <v>UPI</v>
      </c>
      <c r="J59" s="3" t="str">
        <f>ledger!G59</f>
        <v>captured</v>
      </c>
      <c r="K59" s="9">
        <f>HLOOKUP(I59,Fee!$B$1:$E$2,2,FALSE())</f>
        <v>5.0000000000000001E-3</v>
      </c>
      <c r="L59" s="12">
        <f t="shared" si="0"/>
        <v>1.4950000000000001</v>
      </c>
      <c r="M59" s="3">
        <f>SUMIFS(ledger!$E$2:$E$548, ledger!$C$2:$C$548, B59, ledger!$I$2:$I$548, G59)</f>
        <v>299</v>
      </c>
      <c r="N59" s="3" t="str">
        <f t="shared" si="1"/>
        <v>Standard</v>
      </c>
    </row>
    <row r="60" spans="1:14" x14ac:dyDescent="0.3">
      <c r="A60" s="3" t="str">
        <f>ledger!A60</f>
        <v>TXN100058</v>
      </c>
      <c r="B60" s="3">
        <f>ledger!C60</f>
        <v>37</v>
      </c>
      <c r="C60" s="4" t="str">
        <f>IFERROR(VLOOKUP(B60, merchants!$A$2:$D$41, 2, FALSE), "Merchant not found")</f>
        <v>Merchant_037</v>
      </c>
      <c r="D60" s="3" t="str">
        <f>IFERROR(VLOOKUP(B60, merchants!$A$2:$D$41, 3, FALSE), "Merchant not found")</f>
        <v>entertainment</v>
      </c>
      <c r="E60" s="3" t="str">
        <f>IFERROR(VLOOKUP(B60, merchants!$A$2:$D$41, 4, FALSE), "Merchant not found")</f>
        <v>South</v>
      </c>
      <c r="F60" s="4">
        <f>ledger!D60</f>
        <v>46026.750694444447</v>
      </c>
      <c r="G60" s="5">
        <f>ledger!I60</f>
        <v>46026</v>
      </c>
      <c r="H60" s="3">
        <f>ledger!E60</f>
        <v>49</v>
      </c>
      <c r="I60" s="3" t="str">
        <f>ledger!F60</f>
        <v>Wallet</v>
      </c>
      <c r="J60" s="3" t="str">
        <f>ledger!G60</f>
        <v>captured</v>
      </c>
      <c r="K60" s="9">
        <f>HLOOKUP(I60,Fee!$B$1:$E$2,2,FALSE())</f>
        <v>1.4999999999999999E-2</v>
      </c>
      <c r="L60" s="12">
        <f t="shared" si="0"/>
        <v>0.73499999999999999</v>
      </c>
      <c r="M60" s="3">
        <f>SUMIFS(ledger!$E$2:$E$548, ledger!$C$2:$C$548, B60, ledger!$I$2:$I$548, G60)</f>
        <v>49</v>
      </c>
      <c r="N60" s="3" t="str">
        <f t="shared" si="1"/>
        <v>Standard</v>
      </c>
    </row>
    <row r="61" spans="1:14" x14ac:dyDescent="0.3">
      <c r="A61" s="3" t="str">
        <f>ledger!A61</f>
        <v>TXN100059</v>
      </c>
      <c r="B61" s="3">
        <f>ledger!C61</f>
        <v>5</v>
      </c>
      <c r="C61" s="4" t="str">
        <f>IFERROR(VLOOKUP(B61, merchants!$A$2:$D$41, 2, FALSE), "Merchant not found")</f>
        <v>Merchant_005</v>
      </c>
      <c r="D61" s="3" t="str">
        <f>IFERROR(VLOOKUP(B61, merchants!$A$2:$D$41, 3, FALSE), "Merchant not found")</f>
        <v>recharge</v>
      </c>
      <c r="E61" s="3" t="str">
        <f>IFERROR(VLOOKUP(B61, merchants!$A$2:$D$41, 4, FALSE), "Merchant not found")</f>
        <v>South</v>
      </c>
      <c r="F61" s="4">
        <f>ledger!D61</f>
        <v>46052.517361111109</v>
      </c>
      <c r="G61" s="5">
        <f>ledger!I61</f>
        <v>46052</v>
      </c>
      <c r="H61" s="3">
        <f>ledger!E61</f>
        <v>2999</v>
      </c>
      <c r="I61" s="3" t="str">
        <f>ledger!F61</f>
        <v>UPI</v>
      </c>
      <c r="J61" s="3" t="str">
        <f>ledger!G61</f>
        <v>captured</v>
      </c>
      <c r="K61" s="9">
        <f>HLOOKUP(I61,Fee!$B$1:$E$2,2,FALSE())</f>
        <v>5.0000000000000001E-3</v>
      </c>
      <c r="L61" s="12">
        <f t="shared" si="0"/>
        <v>14.995000000000001</v>
      </c>
      <c r="M61" s="3">
        <f>SUMIFS(ledger!$E$2:$E$548, ledger!$C$2:$C$548, B61, ledger!$I$2:$I$548, G61)</f>
        <v>2999</v>
      </c>
      <c r="N61" s="3" t="str">
        <f t="shared" si="1"/>
        <v>Standard</v>
      </c>
    </row>
    <row r="62" spans="1:14" x14ac:dyDescent="0.3">
      <c r="A62" s="3" t="str">
        <f>ledger!A62</f>
        <v>TXN100060</v>
      </c>
      <c r="B62" s="3">
        <f>ledger!C62</f>
        <v>20</v>
      </c>
      <c r="C62" s="4" t="str">
        <f>IFERROR(VLOOKUP(B62, merchants!$A$2:$D$41, 2, FALSE), "Merchant not found")</f>
        <v>Merchant_020</v>
      </c>
      <c r="D62" s="3" t="str">
        <f>IFERROR(VLOOKUP(B62, merchants!$A$2:$D$41, 3, FALSE), "Merchant not found")</f>
        <v>food_delivery</v>
      </c>
      <c r="E62" s="3" t="str">
        <f>IFERROR(VLOOKUP(B62, merchants!$A$2:$D$41, 4, FALSE), "Merchant not found")</f>
        <v>East</v>
      </c>
      <c r="F62" s="4">
        <f>ledger!D62</f>
        <v>46045.84375</v>
      </c>
      <c r="G62" s="5">
        <f>ledger!I62</f>
        <v>46045</v>
      </c>
      <c r="H62" s="3">
        <f>ledger!E62</f>
        <v>49</v>
      </c>
      <c r="I62" s="3" t="str">
        <f>ledger!F62</f>
        <v>Netbanking</v>
      </c>
      <c r="J62" s="3" t="str">
        <f>ledger!G62</f>
        <v>captured</v>
      </c>
      <c r="K62" s="9">
        <f>HLOOKUP(I62,Fee!$B$1:$E$2,2,FALSE())</f>
        <v>1.7999999999999999E-2</v>
      </c>
      <c r="L62" s="12">
        <f t="shared" si="0"/>
        <v>0.8819999999999999</v>
      </c>
      <c r="M62" s="3">
        <f>SUMIFS(ledger!$E$2:$E$548, ledger!$C$2:$C$548, B62, ledger!$I$2:$I$548, G62)</f>
        <v>49</v>
      </c>
      <c r="N62" s="3" t="str">
        <f t="shared" si="1"/>
        <v>Standard</v>
      </c>
    </row>
    <row r="63" spans="1:14" x14ac:dyDescent="0.3">
      <c r="A63" s="3" t="str">
        <f>ledger!A63</f>
        <v>TXN100061</v>
      </c>
      <c r="B63" s="3">
        <f>ledger!C63</f>
        <v>3</v>
      </c>
      <c r="C63" s="4" t="str">
        <f>IFERROR(VLOOKUP(B63, merchants!$A$2:$D$41, 2, FALSE), "Merchant not found")</f>
        <v>Merchant_003</v>
      </c>
      <c r="D63" s="3" t="str">
        <f>IFERROR(VLOOKUP(B63, merchants!$A$2:$D$41, 3, FALSE), "Merchant not found")</f>
        <v>grocery</v>
      </c>
      <c r="E63" s="3" t="str">
        <f>IFERROR(VLOOKUP(B63, merchants!$A$2:$D$41, 4, FALSE), "Merchant not found")</f>
        <v>East</v>
      </c>
      <c r="F63" s="4">
        <f>ledger!D63</f>
        <v>46042.159722222219</v>
      </c>
      <c r="G63" s="5">
        <f>ledger!I63</f>
        <v>46042</v>
      </c>
      <c r="H63" s="3">
        <f>ledger!E63</f>
        <v>99</v>
      </c>
      <c r="I63" s="3" t="str">
        <f>ledger!F63</f>
        <v>Wallet</v>
      </c>
      <c r="J63" s="3" t="str">
        <f>ledger!G63</f>
        <v>captured</v>
      </c>
      <c r="K63" s="9">
        <f>HLOOKUP(I63,Fee!$B$1:$E$2,2,FALSE())</f>
        <v>1.4999999999999999E-2</v>
      </c>
      <c r="L63" s="12">
        <f t="shared" si="0"/>
        <v>1.4849999999999999</v>
      </c>
      <c r="M63" s="3">
        <f>SUMIFS(ledger!$E$2:$E$548, ledger!$C$2:$C$548, B63, ledger!$I$2:$I$548, G63)</f>
        <v>99</v>
      </c>
      <c r="N63" s="3" t="str">
        <f t="shared" si="1"/>
        <v>Standard</v>
      </c>
    </row>
    <row r="64" spans="1:14" x14ac:dyDescent="0.3">
      <c r="A64" s="3" t="str">
        <f>ledger!A64</f>
        <v>TXN100062</v>
      </c>
      <c r="B64" s="3">
        <f>ledger!C64</f>
        <v>5</v>
      </c>
      <c r="C64" s="4" t="str">
        <f>IFERROR(VLOOKUP(B64, merchants!$A$2:$D$41, 2, FALSE), "Merchant not found")</f>
        <v>Merchant_005</v>
      </c>
      <c r="D64" s="3" t="str">
        <f>IFERROR(VLOOKUP(B64, merchants!$A$2:$D$41, 3, FALSE), "Merchant not found")</f>
        <v>recharge</v>
      </c>
      <c r="E64" s="3" t="str">
        <f>IFERROR(VLOOKUP(B64, merchants!$A$2:$D$41, 4, FALSE), "Merchant not found")</f>
        <v>South</v>
      </c>
      <c r="F64" s="4">
        <f>ledger!D64</f>
        <v>46040.570833333331</v>
      </c>
      <c r="G64" s="5">
        <f>ledger!I64</f>
        <v>46040</v>
      </c>
      <c r="H64" s="3">
        <f>ledger!E64</f>
        <v>299</v>
      </c>
      <c r="I64" s="3" t="str">
        <f>ledger!F64</f>
        <v>UPI</v>
      </c>
      <c r="J64" s="3" t="str">
        <f>ledger!G64</f>
        <v>captured</v>
      </c>
      <c r="K64" s="9">
        <f>HLOOKUP(I64,Fee!$B$1:$E$2,2,FALSE())</f>
        <v>5.0000000000000001E-3</v>
      </c>
      <c r="L64" s="12">
        <f t="shared" si="0"/>
        <v>1.4950000000000001</v>
      </c>
      <c r="M64" s="3">
        <f>SUMIFS(ledger!$E$2:$E$548, ledger!$C$2:$C$548, B64, ledger!$I$2:$I$548, G64)</f>
        <v>299</v>
      </c>
      <c r="N64" s="3" t="str">
        <f t="shared" si="1"/>
        <v>Standard</v>
      </c>
    </row>
    <row r="65" spans="1:14" x14ac:dyDescent="0.3">
      <c r="A65" s="3" t="str">
        <f>ledger!A65</f>
        <v>TXN100063</v>
      </c>
      <c r="B65" s="3">
        <f>ledger!C65</f>
        <v>32</v>
      </c>
      <c r="C65" s="4" t="str">
        <f>IFERROR(VLOOKUP(B65, merchants!$A$2:$D$41, 2, FALSE), "Merchant not found")</f>
        <v>Merchant_032</v>
      </c>
      <c r="D65" s="3" t="str">
        <f>IFERROR(VLOOKUP(B65, merchants!$A$2:$D$41, 3, FALSE), "Merchant not found")</f>
        <v>food_delivery</v>
      </c>
      <c r="E65" s="3" t="str">
        <f>IFERROR(VLOOKUP(B65, merchants!$A$2:$D$41, 4, FALSE), "Merchant not found")</f>
        <v>West</v>
      </c>
      <c r="F65" s="4">
        <f>ledger!D65</f>
        <v>46043.416666666664</v>
      </c>
      <c r="G65" s="5">
        <f>ledger!I65</f>
        <v>46043</v>
      </c>
      <c r="H65" s="3">
        <f>ledger!E65</f>
        <v>49</v>
      </c>
      <c r="I65" s="3" t="str">
        <f>ledger!F65</f>
        <v>Card</v>
      </c>
      <c r="J65" s="3" t="str">
        <f>ledger!G65</f>
        <v>captured</v>
      </c>
      <c r="K65" s="9">
        <f>HLOOKUP(I65,Fee!$B$1:$E$2,2,FALSE())</f>
        <v>0.02</v>
      </c>
      <c r="L65" s="12">
        <f t="shared" si="0"/>
        <v>0.98</v>
      </c>
      <c r="M65" s="3">
        <f>SUMIFS(ledger!$E$2:$E$548, ledger!$C$2:$C$548, B65, ledger!$I$2:$I$548, G65)</f>
        <v>348</v>
      </c>
      <c r="N65" s="3" t="str">
        <f t="shared" si="1"/>
        <v>Standard</v>
      </c>
    </row>
    <row r="66" spans="1:14" x14ac:dyDescent="0.3">
      <c r="A66" s="3" t="str">
        <f>ledger!A66</f>
        <v>TXN100064</v>
      </c>
      <c r="B66" s="3">
        <f>ledger!C66</f>
        <v>10</v>
      </c>
      <c r="C66" s="4" t="str">
        <f>IFERROR(VLOOKUP(B66, merchants!$A$2:$D$41, 2, FALSE), "Merchant not found")</f>
        <v>Merchant_010</v>
      </c>
      <c r="D66" s="3" t="str">
        <f>IFERROR(VLOOKUP(B66, merchants!$A$2:$D$41, 3, FALSE), "Merchant not found")</f>
        <v>grocery</v>
      </c>
      <c r="E66" s="3" t="str">
        <f>IFERROR(VLOOKUP(B66, merchants!$A$2:$D$41, 4, FALSE), "Merchant not found")</f>
        <v>West</v>
      </c>
      <c r="F66" s="4">
        <f>ledger!D66</f>
        <v>46036.486111111109</v>
      </c>
      <c r="G66" s="5">
        <f>ledger!I66</f>
        <v>46036</v>
      </c>
      <c r="H66" s="3">
        <f>ledger!E66</f>
        <v>499</v>
      </c>
      <c r="I66" s="3" t="str">
        <f>ledger!F66</f>
        <v>UPI</v>
      </c>
      <c r="J66" s="3" t="str">
        <f>ledger!G66</f>
        <v>captured</v>
      </c>
      <c r="K66" s="9">
        <f>HLOOKUP(I66,Fee!$B$1:$E$2,2,FALSE())</f>
        <v>5.0000000000000001E-3</v>
      </c>
      <c r="L66" s="12">
        <f t="shared" si="0"/>
        <v>2.4950000000000001</v>
      </c>
      <c r="M66" s="3">
        <f>SUMIFS(ledger!$E$2:$E$548, ledger!$C$2:$C$548, B66, ledger!$I$2:$I$548, G66)</f>
        <v>499</v>
      </c>
      <c r="N66" s="3" t="str">
        <f t="shared" si="1"/>
        <v>Standard</v>
      </c>
    </row>
    <row r="67" spans="1:14" x14ac:dyDescent="0.3">
      <c r="A67" s="3" t="str">
        <f>ledger!A67</f>
        <v>TXN100065</v>
      </c>
      <c r="B67" s="3">
        <f>ledger!C67</f>
        <v>18</v>
      </c>
      <c r="C67" s="4" t="str">
        <f>IFERROR(VLOOKUP(B67, merchants!$A$2:$D$41, 2, FALSE), "Merchant not found")</f>
        <v>Merchant_018</v>
      </c>
      <c r="D67" s="3" t="str">
        <f>IFERROR(VLOOKUP(B67, merchants!$A$2:$D$41, 3, FALSE), "Merchant not found")</f>
        <v>grocery</v>
      </c>
      <c r="E67" s="3" t="str">
        <f>IFERROR(VLOOKUP(B67, merchants!$A$2:$D$41, 4, FALSE), "Merchant not found")</f>
        <v>West</v>
      </c>
      <c r="F67" s="4">
        <f>ledger!D67</f>
        <v>46028.981249999997</v>
      </c>
      <c r="G67" s="5">
        <f>ledger!I67</f>
        <v>46028</v>
      </c>
      <c r="H67" s="3">
        <f>ledger!E67</f>
        <v>499</v>
      </c>
      <c r="I67" s="3" t="str">
        <f>ledger!F67</f>
        <v>Card</v>
      </c>
      <c r="J67" s="3" t="str">
        <f>ledger!G67</f>
        <v>captured</v>
      </c>
      <c r="K67" s="9">
        <f>HLOOKUP(I67,Fee!$B$1:$E$2,2,FALSE())</f>
        <v>0.02</v>
      </c>
      <c r="L67" s="12">
        <f t="shared" ref="L67:L130" si="2">H67*K67</f>
        <v>9.98</v>
      </c>
      <c r="M67" s="3">
        <f>SUMIFS(ledger!$E$2:$E$548, ledger!$C$2:$C$548, B67, ledger!$I$2:$I$548, G67)</f>
        <v>499</v>
      </c>
      <c r="N67" s="3" t="str">
        <f t="shared" ref="N67:N130" si="3">IF(AND(M67&gt;5000,E67&lt;&gt;"East"),"High Value","Standard")</f>
        <v>Standard</v>
      </c>
    </row>
    <row r="68" spans="1:14" x14ac:dyDescent="0.3">
      <c r="A68" s="3" t="str">
        <f>ledger!A68</f>
        <v>TXN100066</v>
      </c>
      <c r="B68" s="3">
        <f>ledger!C68</f>
        <v>30</v>
      </c>
      <c r="C68" s="4" t="str">
        <f>IFERROR(VLOOKUP(B68, merchants!$A$2:$D$41, 2, FALSE), "Merchant not found")</f>
        <v>Merchant_030</v>
      </c>
      <c r="D68" s="3" t="str">
        <f>IFERROR(VLOOKUP(B68, merchants!$A$2:$D$41, 3, FALSE), "Merchant not found")</f>
        <v>travel</v>
      </c>
      <c r="E68" s="3" t="str">
        <f>IFERROR(VLOOKUP(B68, merchants!$A$2:$D$41, 4, FALSE), "Merchant not found")</f>
        <v>West</v>
      </c>
      <c r="F68" s="4">
        <f>ledger!D68</f>
        <v>46048.742361111108</v>
      </c>
      <c r="G68" s="5">
        <f>ledger!I68</f>
        <v>46048</v>
      </c>
      <c r="H68" s="3">
        <f>ledger!E68</f>
        <v>799</v>
      </c>
      <c r="I68" s="3" t="str">
        <f>ledger!F68</f>
        <v>Wallet</v>
      </c>
      <c r="J68" s="3" t="str">
        <f>ledger!G68</f>
        <v>captured</v>
      </c>
      <c r="K68" s="9">
        <f>HLOOKUP(I68,Fee!$B$1:$E$2,2,FALSE())</f>
        <v>1.4999999999999999E-2</v>
      </c>
      <c r="L68" s="12">
        <f t="shared" si="2"/>
        <v>11.984999999999999</v>
      </c>
      <c r="M68" s="3">
        <f>SUMIFS(ledger!$E$2:$E$548, ledger!$C$2:$C$548, B68, ledger!$I$2:$I$548, G68)</f>
        <v>799</v>
      </c>
      <c r="N68" s="3" t="str">
        <f t="shared" si="3"/>
        <v>Standard</v>
      </c>
    </row>
    <row r="69" spans="1:14" x14ac:dyDescent="0.3">
      <c r="A69" s="3" t="str">
        <f>ledger!A69</f>
        <v>TXN100067</v>
      </c>
      <c r="B69" s="3">
        <f>ledger!C69</f>
        <v>21</v>
      </c>
      <c r="C69" s="4" t="str">
        <f>IFERROR(VLOOKUP(B69, merchants!$A$2:$D$41, 2, FALSE), "Merchant not found")</f>
        <v>Merchant_021</v>
      </c>
      <c r="D69" s="3" t="str">
        <f>IFERROR(VLOOKUP(B69, merchants!$A$2:$D$41, 3, FALSE), "Merchant not found")</f>
        <v>food_delivery</v>
      </c>
      <c r="E69" s="3" t="str">
        <f>IFERROR(VLOOKUP(B69, merchants!$A$2:$D$41, 4, FALSE), "Merchant not found")</f>
        <v>East</v>
      </c>
      <c r="F69" s="4">
        <f>ledger!D69</f>
        <v>46049.984027777777</v>
      </c>
      <c r="G69" s="5">
        <f>ledger!I69</f>
        <v>46049</v>
      </c>
      <c r="H69" s="3">
        <f>ledger!E69</f>
        <v>49</v>
      </c>
      <c r="I69" s="3" t="str">
        <f>ledger!F69</f>
        <v>Card</v>
      </c>
      <c r="J69" s="3" t="str">
        <f>ledger!G69</f>
        <v>captured</v>
      </c>
      <c r="K69" s="9">
        <f>HLOOKUP(I69,Fee!$B$1:$E$2,2,FALSE())</f>
        <v>0.02</v>
      </c>
      <c r="L69" s="12">
        <f t="shared" si="2"/>
        <v>0.98</v>
      </c>
      <c r="M69" s="3">
        <f>SUMIFS(ledger!$E$2:$E$548, ledger!$C$2:$C$548, B69, ledger!$I$2:$I$548, G69)</f>
        <v>49</v>
      </c>
      <c r="N69" s="3" t="str">
        <f t="shared" si="3"/>
        <v>Standard</v>
      </c>
    </row>
    <row r="70" spans="1:14" x14ac:dyDescent="0.3">
      <c r="A70" s="3" t="str">
        <f>ledger!A70</f>
        <v>TXN100068</v>
      </c>
      <c r="B70" s="3">
        <f>ledger!C70</f>
        <v>16</v>
      </c>
      <c r="C70" s="4" t="str">
        <f>IFERROR(VLOOKUP(B70, merchants!$A$2:$D$41, 2, FALSE), "Merchant not found")</f>
        <v>Merchant_016</v>
      </c>
      <c r="D70" s="3" t="str">
        <f>IFERROR(VLOOKUP(B70, merchants!$A$2:$D$41, 3, FALSE), "Merchant not found")</f>
        <v>bill_payment</v>
      </c>
      <c r="E70" s="3" t="str">
        <f>IFERROR(VLOOKUP(B70, merchants!$A$2:$D$41, 4, FALSE), "Merchant not found")</f>
        <v>West</v>
      </c>
      <c r="F70" s="4">
        <f>ledger!D70</f>
        <v>46049.095138888886</v>
      </c>
      <c r="G70" s="5">
        <f>ledger!I70</f>
        <v>46049</v>
      </c>
      <c r="H70" s="3">
        <f>ledger!E70</f>
        <v>49</v>
      </c>
      <c r="I70" s="3" t="str">
        <f>ledger!F70</f>
        <v>UPI</v>
      </c>
      <c r="J70" s="3" t="str">
        <f>ledger!G70</f>
        <v>captured</v>
      </c>
      <c r="K70" s="9">
        <f>HLOOKUP(I70,Fee!$B$1:$E$2,2,FALSE())</f>
        <v>5.0000000000000001E-3</v>
      </c>
      <c r="L70" s="12">
        <f t="shared" si="2"/>
        <v>0.245</v>
      </c>
      <c r="M70" s="3">
        <f>SUMIFS(ledger!$E$2:$E$548, ledger!$C$2:$C$548, B70, ledger!$I$2:$I$548, G70)</f>
        <v>348</v>
      </c>
      <c r="N70" s="3" t="str">
        <f t="shared" si="3"/>
        <v>Standard</v>
      </c>
    </row>
    <row r="71" spans="1:14" x14ac:dyDescent="0.3">
      <c r="A71" s="3" t="str">
        <f>ledger!A71</f>
        <v>TXN100069</v>
      </c>
      <c r="B71" s="3">
        <f>ledger!C71</f>
        <v>25</v>
      </c>
      <c r="C71" s="4" t="str">
        <f>IFERROR(VLOOKUP(B71, merchants!$A$2:$D$41, 2, FALSE), "Merchant not found")</f>
        <v>Merchant_025</v>
      </c>
      <c r="D71" s="3" t="str">
        <f>IFERROR(VLOOKUP(B71, merchants!$A$2:$D$41, 3, FALSE), "Merchant not found")</f>
        <v>travel</v>
      </c>
      <c r="E71" s="3" t="str">
        <f>IFERROR(VLOOKUP(B71, merchants!$A$2:$D$41, 4, FALSE), "Merchant not found")</f>
        <v>South</v>
      </c>
      <c r="F71" s="4">
        <f>ledger!D71</f>
        <v>46037.777083333334</v>
      </c>
      <c r="G71" s="5">
        <f>ledger!I71</f>
        <v>46037</v>
      </c>
      <c r="H71" s="3">
        <f>ledger!E71</f>
        <v>49</v>
      </c>
      <c r="I71" s="3" t="str">
        <f>ledger!F71</f>
        <v>UPI</v>
      </c>
      <c r="J71" s="3" t="str">
        <f>ledger!G71</f>
        <v>captured</v>
      </c>
      <c r="K71" s="9">
        <f>HLOOKUP(I71,Fee!$B$1:$E$2,2,FALSE())</f>
        <v>5.0000000000000001E-3</v>
      </c>
      <c r="L71" s="12">
        <f t="shared" si="2"/>
        <v>0.245</v>
      </c>
      <c r="M71" s="3">
        <f>SUMIFS(ledger!$E$2:$E$548, ledger!$C$2:$C$548, B71, ledger!$I$2:$I$548, G71)</f>
        <v>49</v>
      </c>
      <c r="N71" s="3" t="str">
        <f t="shared" si="3"/>
        <v>Standard</v>
      </c>
    </row>
    <row r="72" spans="1:14" x14ac:dyDescent="0.3">
      <c r="A72" s="3" t="str">
        <f>ledger!A72</f>
        <v>TXN100070</v>
      </c>
      <c r="B72" s="3">
        <f>ledger!C72</f>
        <v>12</v>
      </c>
      <c r="C72" s="4" t="str">
        <f>IFERROR(VLOOKUP(B72, merchants!$A$2:$D$41, 2, FALSE), "Merchant not found")</f>
        <v>Merchant_012</v>
      </c>
      <c r="D72" s="3" t="str">
        <f>IFERROR(VLOOKUP(B72, merchants!$A$2:$D$41, 3, FALSE), "Merchant not found")</f>
        <v>ecommerce</v>
      </c>
      <c r="E72" s="3" t="str">
        <f>IFERROR(VLOOKUP(B72, merchants!$A$2:$D$41, 4, FALSE), "Merchant not found")</f>
        <v>East</v>
      </c>
      <c r="F72" s="4">
        <f>ledger!D72</f>
        <v>46023.662499999999</v>
      </c>
      <c r="G72" s="5">
        <f>ledger!I72</f>
        <v>46023</v>
      </c>
      <c r="H72" s="3">
        <f>ledger!E72</f>
        <v>499</v>
      </c>
      <c r="I72" s="3" t="str">
        <f>ledger!F72</f>
        <v>Wallet</v>
      </c>
      <c r="J72" s="3" t="str">
        <f>ledger!G72</f>
        <v>captured</v>
      </c>
      <c r="K72" s="9">
        <f>HLOOKUP(I72,Fee!$B$1:$E$2,2,FALSE())</f>
        <v>1.4999999999999999E-2</v>
      </c>
      <c r="L72" s="12">
        <f t="shared" si="2"/>
        <v>7.4849999999999994</v>
      </c>
      <c r="M72" s="3">
        <f>SUMIFS(ledger!$E$2:$E$548, ledger!$C$2:$C$548, B72, ledger!$I$2:$I$548, G72)</f>
        <v>548</v>
      </c>
      <c r="N72" s="3" t="str">
        <f t="shared" si="3"/>
        <v>Standard</v>
      </c>
    </row>
    <row r="73" spans="1:14" x14ac:dyDescent="0.3">
      <c r="A73" s="3" t="str">
        <f>ledger!A73</f>
        <v>TXN100071</v>
      </c>
      <c r="B73" s="3">
        <f>ledger!C73</f>
        <v>22</v>
      </c>
      <c r="C73" s="4" t="str">
        <f>IFERROR(VLOOKUP(B73, merchants!$A$2:$D$41, 2, FALSE), "Merchant not found")</f>
        <v>Merchant_022</v>
      </c>
      <c r="D73" s="3" t="str">
        <f>IFERROR(VLOOKUP(B73, merchants!$A$2:$D$41, 3, FALSE), "Merchant not found")</f>
        <v>travel</v>
      </c>
      <c r="E73" s="3" t="str">
        <f>IFERROR(VLOOKUP(B73, merchants!$A$2:$D$41, 4, FALSE), "Merchant not found")</f>
        <v>South</v>
      </c>
      <c r="F73" s="4">
        <f>ledger!D73</f>
        <v>46029.493750000001</v>
      </c>
      <c r="G73" s="5">
        <f>ledger!I73</f>
        <v>46029</v>
      </c>
      <c r="H73" s="3">
        <f>ledger!E73</f>
        <v>499</v>
      </c>
      <c r="I73" s="3" t="str">
        <f>ledger!F73</f>
        <v>UPI</v>
      </c>
      <c r="J73" s="3" t="str">
        <f>ledger!G73</f>
        <v>captured</v>
      </c>
      <c r="K73" s="9">
        <f>HLOOKUP(I73,Fee!$B$1:$E$2,2,FALSE())</f>
        <v>5.0000000000000001E-3</v>
      </c>
      <c r="L73" s="12">
        <f t="shared" si="2"/>
        <v>2.4950000000000001</v>
      </c>
      <c r="M73" s="3">
        <f>SUMIFS(ledger!$E$2:$E$548, ledger!$C$2:$C$548, B73, ledger!$I$2:$I$548, G73)</f>
        <v>499</v>
      </c>
      <c r="N73" s="3" t="str">
        <f t="shared" si="3"/>
        <v>Standard</v>
      </c>
    </row>
    <row r="74" spans="1:14" x14ac:dyDescent="0.3">
      <c r="A74" s="3" t="str">
        <f>ledger!A74</f>
        <v>TXN100072</v>
      </c>
      <c r="B74" s="3">
        <f>ledger!C74</f>
        <v>36</v>
      </c>
      <c r="C74" s="4" t="str">
        <f>IFERROR(VLOOKUP(B74, merchants!$A$2:$D$41, 2, FALSE), "Merchant not found")</f>
        <v>Merchant_036</v>
      </c>
      <c r="D74" s="3" t="str">
        <f>IFERROR(VLOOKUP(B74, merchants!$A$2:$D$41, 3, FALSE), "Merchant not found")</f>
        <v>entertainment</v>
      </c>
      <c r="E74" s="3" t="str">
        <f>IFERROR(VLOOKUP(B74, merchants!$A$2:$D$41, 4, FALSE), "Merchant not found")</f>
        <v>East</v>
      </c>
      <c r="F74" s="4">
        <f>ledger!D74</f>
        <v>46051.822222222225</v>
      </c>
      <c r="G74" s="5">
        <f>ledger!I74</f>
        <v>46051</v>
      </c>
      <c r="H74" s="3">
        <f>ledger!E74</f>
        <v>799</v>
      </c>
      <c r="I74" s="3" t="str">
        <f>ledger!F74</f>
        <v>Wallet</v>
      </c>
      <c r="J74" s="3" t="str">
        <f>ledger!G74</f>
        <v>captured</v>
      </c>
      <c r="K74" s="9">
        <f>HLOOKUP(I74,Fee!$B$1:$E$2,2,FALSE())</f>
        <v>1.4999999999999999E-2</v>
      </c>
      <c r="L74" s="12">
        <f t="shared" si="2"/>
        <v>11.984999999999999</v>
      </c>
      <c r="M74" s="3">
        <f>SUMIFS(ledger!$E$2:$E$548, ledger!$C$2:$C$548, B74, ledger!$I$2:$I$548, G74)</f>
        <v>799</v>
      </c>
      <c r="N74" s="3" t="str">
        <f t="shared" si="3"/>
        <v>Standard</v>
      </c>
    </row>
    <row r="75" spans="1:14" x14ac:dyDescent="0.3">
      <c r="A75" s="3" t="str">
        <f>ledger!A75</f>
        <v>TXN100073</v>
      </c>
      <c r="B75" s="3">
        <f>ledger!C75</f>
        <v>27</v>
      </c>
      <c r="C75" s="4" t="str">
        <f>IFERROR(VLOOKUP(B75, merchants!$A$2:$D$41, 2, FALSE), "Merchant not found")</f>
        <v>Merchant_027</v>
      </c>
      <c r="D75" s="3" t="str">
        <f>IFERROR(VLOOKUP(B75, merchants!$A$2:$D$41, 3, FALSE), "Merchant not found")</f>
        <v>ecommerce</v>
      </c>
      <c r="E75" s="3" t="str">
        <f>IFERROR(VLOOKUP(B75, merchants!$A$2:$D$41, 4, FALSE), "Merchant not found")</f>
        <v>North</v>
      </c>
      <c r="F75" s="4">
        <f>ledger!D75</f>
        <v>46039.253472222219</v>
      </c>
      <c r="G75" s="5">
        <f>ledger!I75</f>
        <v>46039</v>
      </c>
      <c r="H75" s="3">
        <f>ledger!E75</f>
        <v>499</v>
      </c>
      <c r="I75" s="3" t="str">
        <f>ledger!F75</f>
        <v>Wallet</v>
      </c>
      <c r="J75" s="3" t="str">
        <f>ledger!G75</f>
        <v>captured</v>
      </c>
      <c r="K75" s="9">
        <f>HLOOKUP(I75,Fee!$B$1:$E$2,2,FALSE())</f>
        <v>1.4999999999999999E-2</v>
      </c>
      <c r="L75" s="12">
        <f t="shared" si="2"/>
        <v>7.4849999999999994</v>
      </c>
      <c r="M75" s="3">
        <f>SUMIFS(ledger!$E$2:$E$548, ledger!$C$2:$C$548, B75, ledger!$I$2:$I$548, G75)</f>
        <v>1597</v>
      </c>
      <c r="N75" s="3" t="str">
        <f t="shared" si="3"/>
        <v>Standard</v>
      </c>
    </row>
    <row r="76" spans="1:14" x14ac:dyDescent="0.3">
      <c r="A76" s="3" t="str">
        <f>ledger!A76</f>
        <v>TXN100074</v>
      </c>
      <c r="B76" s="3">
        <f>ledger!C76</f>
        <v>32</v>
      </c>
      <c r="C76" s="4" t="str">
        <f>IFERROR(VLOOKUP(B76, merchants!$A$2:$D$41, 2, FALSE), "Merchant not found")</f>
        <v>Merchant_032</v>
      </c>
      <c r="D76" s="3" t="str">
        <f>IFERROR(VLOOKUP(B76, merchants!$A$2:$D$41, 3, FALSE), "Merchant not found")</f>
        <v>food_delivery</v>
      </c>
      <c r="E76" s="3" t="str">
        <f>IFERROR(VLOOKUP(B76, merchants!$A$2:$D$41, 4, FALSE), "Merchant not found")</f>
        <v>West</v>
      </c>
      <c r="F76" s="4">
        <f>ledger!D76</f>
        <v>46040.322222222225</v>
      </c>
      <c r="G76" s="5">
        <f>ledger!I76</f>
        <v>46040</v>
      </c>
      <c r="H76" s="3">
        <f>ledger!E76</f>
        <v>149</v>
      </c>
      <c r="I76" s="3" t="str">
        <f>ledger!F76</f>
        <v>UPI</v>
      </c>
      <c r="J76" s="3" t="str">
        <f>ledger!G76</f>
        <v>captured</v>
      </c>
      <c r="K76" s="9">
        <f>HLOOKUP(I76,Fee!$B$1:$E$2,2,FALSE())</f>
        <v>5.0000000000000001E-3</v>
      </c>
      <c r="L76" s="12">
        <f t="shared" si="2"/>
        <v>0.745</v>
      </c>
      <c r="M76" s="3">
        <f>SUMIFS(ledger!$E$2:$E$548, ledger!$C$2:$C$548, B76, ledger!$I$2:$I$548, G76)</f>
        <v>149</v>
      </c>
      <c r="N76" s="3" t="str">
        <f t="shared" si="3"/>
        <v>Standard</v>
      </c>
    </row>
    <row r="77" spans="1:14" x14ac:dyDescent="0.3">
      <c r="A77" s="3" t="str">
        <f>ledger!A77</f>
        <v>TXN100075</v>
      </c>
      <c r="B77" s="3">
        <f>ledger!C77</f>
        <v>15</v>
      </c>
      <c r="C77" s="4" t="str">
        <f>IFERROR(VLOOKUP(B77, merchants!$A$2:$D$41, 2, FALSE), "Merchant not found")</f>
        <v>Merchant_015</v>
      </c>
      <c r="D77" s="3" t="str">
        <f>IFERROR(VLOOKUP(B77, merchants!$A$2:$D$41, 3, FALSE), "Merchant not found")</f>
        <v>travel</v>
      </c>
      <c r="E77" s="3" t="str">
        <f>IFERROR(VLOOKUP(B77, merchants!$A$2:$D$41, 4, FALSE), "Merchant not found")</f>
        <v>North</v>
      </c>
      <c r="F77" s="4">
        <f>ledger!D77</f>
        <v>46048.003472222219</v>
      </c>
      <c r="G77" s="5">
        <f>ledger!I77</f>
        <v>46048</v>
      </c>
      <c r="H77" s="3">
        <f>ledger!E77</f>
        <v>4999</v>
      </c>
      <c r="I77" s="3" t="str">
        <f>ledger!F77</f>
        <v>UPI</v>
      </c>
      <c r="J77" s="3" t="str">
        <f>ledger!G77</f>
        <v>captured</v>
      </c>
      <c r="K77" s="9">
        <f>HLOOKUP(I77,Fee!$B$1:$E$2,2,FALSE())</f>
        <v>5.0000000000000001E-3</v>
      </c>
      <c r="L77" s="12">
        <f t="shared" si="2"/>
        <v>24.995000000000001</v>
      </c>
      <c r="M77" s="3">
        <f>SUMIFS(ledger!$E$2:$E$548, ledger!$C$2:$C$548, B77, ledger!$I$2:$I$548, G77)</f>
        <v>4999</v>
      </c>
      <c r="N77" s="3" t="str">
        <f t="shared" si="3"/>
        <v>Standard</v>
      </c>
    </row>
    <row r="78" spans="1:14" x14ac:dyDescent="0.3">
      <c r="A78" s="3" t="str">
        <f>ledger!A78</f>
        <v>TXN100076</v>
      </c>
      <c r="B78" s="3">
        <f>ledger!C78</f>
        <v>38</v>
      </c>
      <c r="C78" s="4" t="str">
        <f>IFERROR(VLOOKUP(B78, merchants!$A$2:$D$41, 2, FALSE), "Merchant not found")</f>
        <v>Merchant_038</v>
      </c>
      <c r="D78" s="3" t="str">
        <f>IFERROR(VLOOKUP(B78, merchants!$A$2:$D$41, 3, FALSE), "Merchant not found")</f>
        <v>grocery</v>
      </c>
      <c r="E78" s="3" t="str">
        <f>IFERROR(VLOOKUP(B78, merchants!$A$2:$D$41, 4, FALSE), "Merchant not found")</f>
        <v>East</v>
      </c>
      <c r="F78" s="4">
        <f>ledger!D78</f>
        <v>46045.304861111108</v>
      </c>
      <c r="G78" s="5">
        <f>ledger!I78</f>
        <v>46045</v>
      </c>
      <c r="H78" s="3">
        <f>ledger!E78</f>
        <v>499</v>
      </c>
      <c r="I78" s="3" t="str">
        <f>ledger!F78</f>
        <v>Card</v>
      </c>
      <c r="J78" s="3" t="str">
        <f>ledger!G78</f>
        <v>captured</v>
      </c>
      <c r="K78" s="9">
        <f>HLOOKUP(I78,Fee!$B$1:$E$2,2,FALSE())</f>
        <v>0.02</v>
      </c>
      <c r="L78" s="12">
        <f t="shared" si="2"/>
        <v>9.98</v>
      </c>
      <c r="M78" s="3">
        <f>SUMIFS(ledger!$E$2:$E$548, ledger!$C$2:$C$548, B78, ledger!$I$2:$I$548, G78)</f>
        <v>499</v>
      </c>
      <c r="N78" s="3" t="str">
        <f t="shared" si="3"/>
        <v>Standard</v>
      </c>
    </row>
    <row r="79" spans="1:14" x14ac:dyDescent="0.3">
      <c r="A79" s="3" t="str">
        <f>ledger!A79</f>
        <v>TXN100077</v>
      </c>
      <c r="B79" s="3">
        <f>ledger!C79</f>
        <v>28</v>
      </c>
      <c r="C79" s="4" t="str">
        <f>IFERROR(VLOOKUP(B79, merchants!$A$2:$D$41, 2, FALSE), "Merchant not found")</f>
        <v>Merchant_028</v>
      </c>
      <c r="D79" s="3" t="str">
        <f>IFERROR(VLOOKUP(B79, merchants!$A$2:$D$41, 3, FALSE), "Merchant not found")</f>
        <v>ecommerce</v>
      </c>
      <c r="E79" s="3" t="str">
        <f>IFERROR(VLOOKUP(B79, merchants!$A$2:$D$41, 4, FALSE), "Merchant not found")</f>
        <v>South</v>
      </c>
      <c r="F79" s="4">
        <f>ledger!D79</f>
        <v>46038.731249999997</v>
      </c>
      <c r="G79" s="5">
        <f>ledger!I79</f>
        <v>46038</v>
      </c>
      <c r="H79" s="3">
        <f>ledger!E79</f>
        <v>299</v>
      </c>
      <c r="I79" s="3" t="str">
        <f>ledger!F79</f>
        <v>UPI</v>
      </c>
      <c r="J79" s="3" t="str">
        <f>ledger!G79</f>
        <v>captured</v>
      </c>
      <c r="K79" s="9">
        <f>HLOOKUP(I79,Fee!$B$1:$E$2,2,FALSE())</f>
        <v>5.0000000000000001E-3</v>
      </c>
      <c r="L79" s="12">
        <f t="shared" si="2"/>
        <v>1.4950000000000001</v>
      </c>
      <c r="M79" s="3">
        <f>SUMIFS(ledger!$E$2:$E$548, ledger!$C$2:$C$548, B79, ledger!$I$2:$I$548, G79)</f>
        <v>299</v>
      </c>
      <c r="N79" s="3" t="str">
        <f t="shared" si="3"/>
        <v>Standard</v>
      </c>
    </row>
    <row r="80" spans="1:14" x14ac:dyDescent="0.3">
      <c r="A80" s="3" t="str">
        <f>ledger!A80</f>
        <v>TXN100078</v>
      </c>
      <c r="B80" s="3">
        <f>ledger!C80</f>
        <v>18</v>
      </c>
      <c r="C80" s="4" t="str">
        <f>IFERROR(VLOOKUP(B80, merchants!$A$2:$D$41, 2, FALSE), "Merchant not found")</f>
        <v>Merchant_018</v>
      </c>
      <c r="D80" s="3" t="str">
        <f>IFERROR(VLOOKUP(B80, merchants!$A$2:$D$41, 3, FALSE), "Merchant not found")</f>
        <v>grocery</v>
      </c>
      <c r="E80" s="3" t="str">
        <f>IFERROR(VLOOKUP(B80, merchants!$A$2:$D$41, 4, FALSE), "Merchant not found")</f>
        <v>West</v>
      </c>
      <c r="F80" s="4">
        <f>ledger!D80</f>
        <v>46040.431944444441</v>
      </c>
      <c r="G80" s="5">
        <f>ledger!I80</f>
        <v>46040</v>
      </c>
      <c r="H80" s="3">
        <f>ledger!E80</f>
        <v>499</v>
      </c>
      <c r="I80" s="3" t="str">
        <f>ledger!F80</f>
        <v>UPI</v>
      </c>
      <c r="J80" s="3" t="str">
        <f>ledger!G80</f>
        <v>captured</v>
      </c>
      <c r="K80" s="9">
        <f>HLOOKUP(I80,Fee!$B$1:$E$2,2,FALSE())</f>
        <v>5.0000000000000001E-3</v>
      </c>
      <c r="L80" s="12">
        <f t="shared" si="2"/>
        <v>2.4950000000000001</v>
      </c>
      <c r="M80" s="3">
        <f>SUMIFS(ledger!$E$2:$E$548, ledger!$C$2:$C$548, B80, ledger!$I$2:$I$548, G80)</f>
        <v>499</v>
      </c>
      <c r="N80" s="3" t="str">
        <f t="shared" si="3"/>
        <v>Standard</v>
      </c>
    </row>
    <row r="81" spans="1:14" x14ac:dyDescent="0.3">
      <c r="A81" s="3" t="str">
        <f>ledger!A81</f>
        <v>TXN100079</v>
      </c>
      <c r="B81" s="3">
        <f>ledger!C81</f>
        <v>21</v>
      </c>
      <c r="C81" s="4" t="str">
        <f>IFERROR(VLOOKUP(B81, merchants!$A$2:$D$41, 2, FALSE), "Merchant not found")</f>
        <v>Merchant_021</v>
      </c>
      <c r="D81" s="3" t="str">
        <f>IFERROR(VLOOKUP(B81, merchants!$A$2:$D$41, 3, FALSE), "Merchant not found")</f>
        <v>food_delivery</v>
      </c>
      <c r="E81" s="3" t="str">
        <f>IFERROR(VLOOKUP(B81, merchants!$A$2:$D$41, 4, FALSE), "Merchant not found")</f>
        <v>East</v>
      </c>
      <c r="F81" s="4">
        <f>ledger!D81</f>
        <v>46031.296527777777</v>
      </c>
      <c r="G81" s="5">
        <f>ledger!I81</f>
        <v>46031</v>
      </c>
      <c r="H81" s="3">
        <f>ledger!E81</f>
        <v>499</v>
      </c>
      <c r="I81" s="3" t="str">
        <f>ledger!F81</f>
        <v>UPI</v>
      </c>
      <c r="J81" s="3" t="str">
        <f>ledger!G81</f>
        <v>captured</v>
      </c>
      <c r="K81" s="9">
        <f>HLOOKUP(I81,Fee!$B$1:$E$2,2,FALSE())</f>
        <v>5.0000000000000001E-3</v>
      </c>
      <c r="L81" s="12">
        <f t="shared" si="2"/>
        <v>2.4950000000000001</v>
      </c>
      <c r="M81" s="3">
        <f>SUMIFS(ledger!$E$2:$E$548, ledger!$C$2:$C$548, B81, ledger!$I$2:$I$548, G81)</f>
        <v>499</v>
      </c>
      <c r="N81" s="3" t="str">
        <f t="shared" si="3"/>
        <v>Standard</v>
      </c>
    </row>
    <row r="82" spans="1:14" x14ac:dyDescent="0.3">
      <c r="A82" s="3" t="str">
        <f>ledger!A82</f>
        <v>TXN100080</v>
      </c>
      <c r="B82" s="3">
        <f>ledger!C82</f>
        <v>13</v>
      </c>
      <c r="C82" s="4" t="str">
        <f>IFERROR(VLOOKUP(B82, merchants!$A$2:$D$41, 2, FALSE), "Merchant not found")</f>
        <v>Merchant_013</v>
      </c>
      <c r="D82" s="3" t="str">
        <f>IFERROR(VLOOKUP(B82, merchants!$A$2:$D$41, 3, FALSE), "Merchant not found")</f>
        <v>travel</v>
      </c>
      <c r="E82" s="3" t="str">
        <f>IFERROR(VLOOKUP(B82, merchants!$A$2:$D$41, 4, FALSE), "Merchant not found")</f>
        <v>East</v>
      </c>
      <c r="F82" s="4">
        <f>ledger!D82</f>
        <v>46046.741666666669</v>
      </c>
      <c r="G82" s="5">
        <f>ledger!I82</f>
        <v>46046</v>
      </c>
      <c r="H82" s="3">
        <f>ledger!E82</f>
        <v>2999</v>
      </c>
      <c r="I82" s="3" t="str">
        <f>ledger!F82</f>
        <v>Netbanking</v>
      </c>
      <c r="J82" s="3" t="str">
        <f>ledger!G82</f>
        <v>failed</v>
      </c>
      <c r="K82" s="9">
        <f>HLOOKUP(I82,Fee!$B$1:$E$2,2,FALSE())</f>
        <v>1.7999999999999999E-2</v>
      </c>
      <c r="L82" s="12">
        <f t="shared" si="2"/>
        <v>53.981999999999999</v>
      </c>
      <c r="M82" s="3">
        <f>SUMIFS(ledger!$E$2:$E$548, ledger!$C$2:$C$548, B82, ledger!$I$2:$I$548, G82)</f>
        <v>2999</v>
      </c>
      <c r="N82" s="3" t="str">
        <f t="shared" si="3"/>
        <v>Standard</v>
      </c>
    </row>
    <row r="83" spans="1:14" x14ac:dyDescent="0.3">
      <c r="A83" s="3" t="str">
        <f>ledger!A83</f>
        <v>TXN100081</v>
      </c>
      <c r="B83" s="3">
        <f>ledger!C83</f>
        <v>34</v>
      </c>
      <c r="C83" s="4" t="str">
        <f>IFERROR(VLOOKUP(B83, merchants!$A$2:$D$41, 2, FALSE), "Merchant not found")</f>
        <v>Merchant_034</v>
      </c>
      <c r="D83" s="3" t="str">
        <f>IFERROR(VLOOKUP(B83, merchants!$A$2:$D$41, 3, FALSE), "Merchant not found")</f>
        <v>travel</v>
      </c>
      <c r="E83" s="3" t="str">
        <f>IFERROR(VLOOKUP(B83, merchants!$A$2:$D$41, 4, FALSE), "Merchant not found")</f>
        <v>South</v>
      </c>
      <c r="F83" s="4">
        <f>ledger!D83</f>
        <v>46046.636805555558</v>
      </c>
      <c r="G83" s="5">
        <f>ledger!I83</f>
        <v>46046</v>
      </c>
      <c r="H83" s="3">
        <f>ledger!E83</f>
        <v>49</v>
      </c>
      <c r="I83" s="3" t="str">
        <f>ledger!F83</f>
        <v>Netbanking</v>
      </c>
      <c r="J83" s="3" t="str">
        <f>ledger!G83</f>
        <v>captured</v>
      </c>
      <c r="K83" s="9">
        <f>HLOOKUP(I83,Fee!$B$1:$E$2,2,FALSE())</f>
        <v>1.7999999999999999E-2</v>
      </c>
      <c r="L83" s="12">
        <f t="shared" si="2"/>
        <v>0.8819999999999999</v>
      </c>
      <c r="M83" s="3">
        <f>SUMIFS(ledger!$E$2:$E$548, ledger!$C$2:$C$548, B83, ledger!$I$2:$I$548, G83)</f>
        <v>548</v>
      </c>
      <c r="N83" s="3" t="str">
        <f t="shared" si="3"/>
        <v>Standard</v>
      </c>
    </row>
    <row r="84" spans="1:14" x14ac:dyDescent="0.3">
      <c r="A84" s="3" t="str">
        <f>ledger!A84</f>
        <v>TXN100082</v>
      </c>
      <c r="B84" s="3">
        <f>ledger!C84</f>
        <v>19</v>
      </c>
      <c r="C84" s="4" t="str">
        <f>IFERROR(VLOOKUP(B84, merchants!$A$2:$D$41, 2, FALSE), "Merchant not found")</f>
        <v>Merchant_019</v>
      </c>
      <c r="D84" s="3" t="str">
        <f>IFERROR(VLOOKUP(B84, merchants!$A$2:$D$41, 3, FALSE), "Merchant not found")</f>
        <v>grocery</v>
      </c>
      <c r="E84" s="3" t="str">
        <f>IFERROR(VLOOKUP(B84, merchants!$A$2:$D$41, 4, FALSE), "Merchant not found")</f>
        <v>North</v>
      </c>
      <c r="F84" s="4">
        <f>ledger!D84</f>
        <v>46032.161805555559</v>
      </c>
      <c r="G84" s="5">
        <f>ledger!I84</f>
        <v>46032</v>
      </c>
      <c r="H84" s="3">
        <f>ledger!E84</f>
        <v>2999</v>
      </c>
      <c r="I84" s="3" t="str">
        <f>ledger!F84</f>
        <v>Netbanking</v>
      </c>
      <c r="J84" s="3" t="str">
        <f>ledger!G84</f>
        <v>captured</v>
      </c>
      <c r="K84" s="9">
        <f>HLOOKUP(I84,Fee!$B$1:$E$2,2,FALSE())</f>
        <v>1.7999999999999999E-2</v>
      </c>
      <c r="L84" s="12">
        <f t="shared" si="2"/>
        <v>53.981999999999999</v>
      </c>
      <c r="M84" s="3">
        <f>SUMIFS(ledger!$E$2:$E$548, ledger!$C$2:$C$548, B84, ledger!$I$2:$I$548, G84)</f>
        <v>2999</v>
      </c>
      <c r="N84" s="3" t="str">
        <f t="shared" si="3"/>
        <v>Standard</v>
      </c>
    </row>
    <row r="85" spans="1:14" x14ac:dyDescent="0.3">
      <c r="A85" s="3" t="str">
        <f>ledger!A85</f>
        <v>TXN100083</v>
      </c>
      <c r="B85" s="3">
        <f>ledger!C85</f>
        <v>35</v>
      </c>
      <c r="C85" s="4" t="str">
        <f>IFERROR(VLOOKUP(B85, merchants!$A$2:$D$41, 2, FALSE), "Merchant not found")</f>
        <v>Merchant_035</v>
      </c>
      <c r="D85" s="3" t="str">
        <f>IFERROR(VLOOKUP(B85, merchants!$A$2:$D$41, 3, FALSE), "Merchant not found")</f>
        <v>recharge</v>
      </c>
      <c r="E85" s="3" t="str">
        <f>IFERROR(VLOOKUP(B85, merchants!$A$2:$D$41, 4, FALSE), "Merchant not found")</f>
        <v>East</v>
      </c>
      <c r="F85" s="4">
        <f>ledger!D85</f>
        <v>46034.22152777778</v>
      </c>
      <c r="G85" s="5">
        <f>ledger!I85</f>
        <v>46034</v>
      </c>
      <c r="H85" s="3">
        <f>ledger!E85</f>
        <v>99</v>
      </c>
      <c r="I85" s="3" t="str">
        <f>ledger!F85</f>
        <v>UPI</v>
      </c>
      <c r="J85" s="3" t="str">
        <f>ledger!G85</f>
        <v>captured</v>
      </c>
      <c r="K85" s="9">
        <f>HLOOKUP(I85,Fee!$B$1:$E$2,2,FALSE())</f>
        <v>5.0000000000000001E-3</v>
      </c>
      <c r="L85" s="12">
        <f t="shared" si="2"/>
        <v>0.495</v>
      </c>
      <c r="M85" s="3">
        <f>SUMIFS(ledger!$E$2:$E$548, ledger!$C$2:$C$548, B85, ledger!$I$2:$I$548, G85)</f>
        <v>99</v>
      </c>
      <c r="N85" s="3" t="str">
        <f t="shared" si="3"/>
        <v>Standard</v>
      </c>
    </row>
    <row r="86" spans="1:14" x14ac:dyDescent="0.3">
      <c r="A86" s="3" t="str">
        <f>ledger!A86</f>
        <v>TXN100084</v>
      </c>
      <c r="B86" s="3">
        <f>ledger!C86</f>
        <v>19</v>
      </c>
      <c r="C86" s="4" t="str">
        <f>IFERROR(VLOOKUP(B86, merchants!$A$2:$D$41, 2, FALSE), "Merchant not found")</f>
        <v>Merchant_019</v>
      </c>
      <c r="D86" s="3" t="str">
        <f>IFERROR(VLOOKUP(B86, merchants!$A$2:$D$41, 3, FALSE), "Merchant not found")</f>
        <v>grocery</v>
      </c>
      <c r="E86" s="3" t="str">
        <f>IFERROR(VLOOKUP(B86, merchants!$A$2:$D$41, 4, FALSE), "Merchant not found")</f>
        <v>North</v>
      </c>
      <c r="F86" s="4">
        <f>ledger!D86</f>
        <v>46031.043749999997</v>
      </c>
      <c r="G86" s="5">
        <f>ledger!I86</f>
        <v>46031</v>
      </c>
      <c r="H86" s="3">
        <f>ledger!E86</f>
        <v>99</v>
      </c>
      <c r="I86" s="3" t="str">
        <f>ledger!F86</f>
        <v>UPI</v>
      </c>
      <c r="J86" s="3" t="str">
        <f>ledger!G86</f>
        <v>captured</v>
      </c>
      <c r="K86" s="9">
        <f>HLOOKUP(I86,Fee!$B$1:$E$2,2,FALSE())</f>
        <v>5.0000000000000001E-3</v>
      </c>
      <c r="L86" s="12">
        <f t="shared" si="2"/>
        <v>0.495</v>
      </c>
      <c r="M86" s="3">
        <f>SUMIFS(ledger!$E$2:$E$548, ledger!$C$2:$C$548, B86, ledger!$I$2:$I$548, G86)</f>
        <v>99</v>
      </c>
      <c r="N86" s="3" t="str">
        <f t="shared" si="3"/>
        <v>Standard</v>
      </c>
    </row>
    <row r="87" spans="1:14" x14ac:dyDescent="0.3">
      <c r="A87" s="3" t="str">
        <f>ledger!A87</f>
        <v>TXN100085</v>
      </c>
      <c r="B87" s="3">
        <f>ledger!C87</f>
        <v>7</v>
      </c>
      <c r="C87" s="4" t="str">
        <f>IFERROR(VLOOKUP(B87, merchants!$A$2:$D$41, 2, FALSE), "Merchant not found")</f>
        <v>Merchant_007</v>
      </c>
      <c r="D87" s="3" t="str">
        <f>IFERROR(VLOOKUP(B87, merchants!$A$2:$D$41, 3, FALSE), "Merchant not found")</f>
        <v>food_delivery</v>
      </c>
      <c r="E87" s="3" t="str">
        <f>IFERROR(VLOOKUP(B87, merchants!$A$2:$D$41, 4, FALSE), "Merchant not found")</f>
        <v>East</v>
      </c>
      <c r="F87" s="4">
        <f>ledger!D87</f>
        <v>46027.871527777781</v>
      </c>
      <c r="G87" s="5">
        <f>ledger!I87</f>
        <v>46027</v>
      </c>
      <c r="H87" s="3">
        <f>ledger!E87</f>
        <v>2999</v>
      </c>
      <c r="I87" s="3" t="str">
        <f>ledger!F87</f>
        <v>Wallet</v>
      </c>
      <c r="J87" s="3" t="str">
        <f>ledger!G87</f>
        <v>captured</v>
      </c>
      <c r="K87" s="9">
        <f>HLOOKUP(I87,Fee!$B$1:$E$2,2,FALSE())</f>
        <v>1.4999999999999999E-2</v>
      </c>
      <c r="L87" s="12">
        <f t="shared" si="2"/>
        <v>44.984999999999999</v>
      </c>
      <c r="M87" s="3">
        <f>SUMIFS(ledger!$E$2:$E$548, ledger!$C$2:$C$548, B87, ledger!$I$2:$I$548, G87)</f>
        <v>4498</v>
      </c>
      <c r="N87" s="3" t="str">
        <f t="shared" si="3"/>
        <v>Standard</v>
      </c>
    </row>
    <row r="88" spans="1:14" x14ac:dyDescent="0.3">
      <c r="A88" s="3" t="str">
        <f>ledger!A88</f>
        <v>TXN100086</v>
      </c>
      <c r="B88" s="3">
        <f>ledger!C88</f>
        <v>29</v>
      </c>
      <c r="C88" s="4" t="str">
        <f>IFERROR(VLOOKUP(B88, merchants!$A$2:$D$41, 2, FALSE), "Merchant not found")</f>
        <v>Merchant_029</v>
      </c>
      <c r="D88" s="3" t="str">
        <f>IFERROR(VLOOKUP(B88, merchants!$A$2:$D$41, 3, FALSE), "Merchant not found")</f>
        <v>ecommerce</v>
      </c>
      <c r="E88" s="3" t="str">
        <f>IFERROR(VLOOKUP(B88, merchants!$A$2:$D$41, 4, FALSE), "Merchant not found")</f>
        <v>North</v>
      </c>
      <c r="F88" s="4">
        <f>ledger!D88</f>
        <v>46041.395833333336</v>
      </c>
      <c r="G88" s="5">
        <f>ledger!I88</f>
        <v>46041</v>
      </c>
      <c r="H88" s="3">
        <f>ledger!E88</f>
        <v>49</v>
      </c>
      <c r="I88" s="3" t="str">
        <f>ledger!F88</f>
        <v>Wallet</v>
      </c>
      <c r="J88" s="3" t="str">
        <f>ledger!G88</f>
        <v>captured</v>
      </c>
      <c r="K88" s="9">
        <f>HLOOKUP(I88,Fee!$B$1:$E$2,2,FALSE())</f>
        <v>1.4999999999999999E-2</v>
      </c>
      <c r="L88" s="12">
        <f t="shared" si="2"/>
        <v>0.73499999999999999</v>
      </c>
      <c r="M88" s="3">
        <f>SUMIFS(ledger!$E$2:$E$548, ledger!$C$2:$C$548, B88, ledger!$I$2:$I$548, G88)</f>
        <v>49</v>
      </c>
      <c r="N88" s="3" t="str">
        <f t="shared" si="3"/>
        <v>Standard</v>
      </c>
    </row>
    <row r="89" spans="1:14" x14ac:dyDescent="0.3">
      <c r="A89" s="3" t="str">
        <f>ledger!A89</f>
        <v>TXN100087</v>
      </c>
      <c r="B89" s="3">
        <f>ledger!C89</f>
        <v>8</v>
      </c>
      <c r="C89" s="4" t="str">
        <f>IFERROR(VLOOKUP(B89, merchants!$A$2:$D$41, 2, FALSE), "Merchant not found")</f>
        <v>Merchant_008</v>
      </c>
      <c r="D89" s="3" t="str">
        <f>IFERROR(VLOOKUP(B89, merchants!$A$2:$D$41, 3, FALSE), "Merchant not found")</f>
        <v>food_delivery</v>
      </c>
      <c r="E89" s="3" t="str">
        <f>IFERROR(VLOOKUP(B89, merchants!$A$2:$D$41, 4, FALSE), "Merchant not found")</f>
        <v>North</v>
      </c>
      <c r="F89" s="4">
        <f>ledger!D89</f>
        <v>46028.052777777775</v>
      </c>
      <c r="G89" s="5">
        <f>ledger!I89</f>
        <v>46028</v>
      </c>
      <c r="H89" s="3">
        <f>ledger!E89</f>
        <v>49</v>
      </c>
      <c r="I89" s="3" t="str">
        <f>ledger!F89</f>
        <v>UPI</v>
      </c>
      <c r="J89" s="3" t="str">
        <f>ledger!G89</f>
        <v>chargeback</v>
      </c>
      <c r="K89" s="9">
        <f>HLOOKUP(I89,Fee!$B$1:$E$2,2,FALSE())</f>
        <v>5.0000000000000001E-3</v>
      </c>
      <c r="L89" s="12">
        <f t="shared" si="2"/>
        <v>0.245</v>
      </c>
      <c r="M89" s="3">
        <f>SUMIFS(ledger!$E$2:$E$548, ledger!$C$2:$C$548, B89, ledger!$I$2:$I$548, G89)</f>
        <v>49</v>
      </c>
      <c r="N89" s="3" t="str">
        <f t="shared" si="3"/>
        <v>Standard</v>
      </c>
    </row>
    <row r="90" spans="1:14" x14ac:dyDescent="0.3">
      <c r="A90" s="3" t="str">
        <f>ledger!A90</f>
        <v>TXN100088</v>
      </c>
      <c r="B90" s="3">
        <f>ledger!C90</f>
        <v>4</v>
      </c>
      <c r="C90" s="4" t="str">
        <f>IFERROR(VLOOKUP(B90, merchants!$A$2:$D$41, 2, FALSE), "Merchant not found")</f>
        <v>Merchant_004</v>
      </c>
      <c r="D90" s="3" t="str">
        <f>IFERROR(VLOOKUP(B90, merchants!$A$2:$D$41, 3, FALSE), "Merchant not found")</f>
        <v>ecommerce</v>
      </c>
      <c r="E90" s="3" t="str">
        <f>IFERROR(VLOOKUP(B90, merchants!$A$2:$D$41, 4, FALSE), "Merchant not found")</f>
        <v>East</v>
      </c>
      <c r="F90" s="4">
        <f>ledger!D90</f>
        <v>46035.62777777778</v>
      </c>
      <c r="G90" s="5">
        <f>ledger!I90</f>
        <v>46035</v>
      </c>
      <c r="H90" s="3">
        <f>ledger!E90</f>
        <v>799</v>
      </c>
      <c r="I90" s="3" t="str">
        <f>ledger!F90</f>
        <v>Wallet</v>
      </c>
      <c r="J90" s="3" t="str">
        <f>ledger!G90</f>
        <v>captured</v>
      </c>
      <c r="K90" s="9">
        <f>HLOOKUP(I90,Fee!$B$1:$E$2,2,FALSE())</f>
        <v>1.4999999999999999E-2</v>
      </c>
      <c r="L90" s="12">
        <f t="shared" si="2"/>
        <v>11.984999999999999</v>
      </c>
      <c r="M90" s="3">
        <f>SUMIFS(ledger!$E$2:$E$548, ledger!$C$2:$C$548, B90, ledger!$I$2:$I$548, G90)</f>
        <v>948</v>
      </c>
      <c r="N90" s="3" t="str">
        <f t="shared" si="3"/>
        <v>Standard</v>
      </c>
    </row>
    <row r="91" spans="1:14" x14ac:dyDescent="0.3">
      <c r="A91" s="3" t="str">
        <f>ledger!A91</f>
        <v>TXN100089</v>
      </c>
      <c r="B91" s="3">
        <f>ledger!C91</f>
        <v>16</v>
      </c>
      <c r="C91" s="4" t="str">
        <f>IFERROR(VLOOKUP(B91, merchants!$A$2:$D$41, 2, FALSE), "Merchant not found")</f>
        <v>Merchant_016</v>
      </c>
      <c r="D91" s="3" t="str">
        <f>IFERROR(VLOOKUP(B91, merchants!$A$2:$D$41, 3, FALSE), "Merchant not found")</f>
        <v>bill_payment</v>
      </c>
      <c r="E91" s="3" t="str">
        <f>IFERROR(VLOOKUP(B91, merchants!$A$2:$D$41, 4, FALSE), "Merchant not found")</f>
        <v>West</v>
      </c>
      <c r="F91" s="4">
        <f>ledger!D91</f>
        <v>46027.763194444444</v>
      </c>
      <c r="G91" s="5">
        <f>ledger!I91</f>
        <v>46027</v>
      </c>
      <c r="H91" s="3">
        <f>ledger!E91</f>
        <v>149</v>
      </c>
      <c r="I91" s="3" t="str">
        <f>ledger!F91</f>
        <v>UPI</v>
      </c>
      <c r="J91" s="3" t="str">
        <f>ledger!G91</f>
        <v>captured</v>
      </c>
      <c r="K91" s="9">
        <f>HLOOKUP(I91,Fee!$B$1:$E$2,2,FALSE())</f>
        <v>5.0000000000000001E-3</v>
      </c>
      <c r="L91" s="12">
        <f t="shared" si="2"/>
        <v>0.745</v>
      </c>
      <c r="M91" s="3">
        <f>SUMIFS(ledger!$E$2:$E$548, ledger!$C$2:$C$548, B91, ledger!$I$2:$I$548, G91)</f>
        <v>149</v>
      </c>
      <c r="N91" s="3" t="str">
        <f t="shared" si="3"/>
        <v>Standard</v>
      </c>
    </row>
    <row r="92" spans="1:14" x14ac:dyDescent="0.3">
      <c r="A92" s="3" t="str">
        <f>ledger!A92</f>
        <v>TXN100090</v>
      </c>
      <c r="B92" s="3">
        <f>ledger!C92</f>
        <v>40</v>
      </c>
      <c r="C92" s="4" t="str">
        <f>IFERROR(VLOOKUP(B92, merchants!$A$2:$D$41, 2, FALSE), "Merchant not found")</f>
        <v>Merchant_040</v>
      </c>
      <c r="D92" s="3" t="str">
        <f>IFERROR(VLOOKUP(B92, merchants!$A$2:$D$41, 3, FALSE), "Merchant not found")</f>
        <v>entertainment</v>
      </c>
      <c r="E92" s="3" t="str">
        <f>IFERROR(VLOOKUP(B92, merchants!$A$2:$D$41, 4, FALSE), "Merchant not found")</f>
        <v>South</v>
      </c>
      <c r="F92" s="4">
        <f>ledger!D92</f>
        <v>46040.568055555559</v>
      </c>
      <c r="G92" s="5">
        <f>ledger!I92</f>
        <v>46040</v>
      </c>
      <c r="H92" s="3">
        <f>ledger!E92</f>
        <v>799</v>
      </c>
      <c r="I92" s="3" t="str">
        <f>ledger!F92</f>
        <v>Card</v>
      </c>
      <c r="J92" s="3" t="str">
        <f>ledger!G92</f>
        <v>captured</v>
      </c>
      <c r="K92" s="9">
        <f>HLOOKUP(I92,Fee!$B$1:$E$2,2,FALSE())</f>
        <v>0.02</v>
      </c>
      <c r="L92" s="12">
        <f t="shared" si="2"/>
        <v>15.98</v>
      </c>
      <c r="M92" s="3">
        <f>SUMIFS(ledger!$E$2:$E$548, ledger!$C$2:$C$548, B92, ledger!$I$2:$I$548, G92)</f>
        <v>799</v>
      </c>
      <c r="N92" s="3" t="str">
        <f t="shared" si="3"/>
        <v>Standard</v>
      </c>
    </row>
    <row r="93" spans="1:14" x14ac:dyDescent="0.3">
      <c r="A93" s="3" t="str">
        <f>ledger!A93</f>
        <v>TXN100091</v>
      </c>
      <c r="B93" s="3">
        <f>ledger!C93</f>
        <v>29</v>
      </c>
      <c r="C93" s="4" t="str">
        <f>IFERROR(VLOOKUP(B93, merchants!$A$2:$D$41, 2, FALSE), "Merchant not found")</f>
        <v>Merchant_029</v>
      </c>
      <c r="D93" s="3" t="str">
        <f>IFERROR(VLOOKUP(B93, merchants!$A$2:$D$41, 3, FALSE), "Merchant not found")</f>
        <v>ecommerce</v>
      </c>
      <c r="E93" s="3" t="str">
        <f>IFERROR(VLOOKUP(B93, merchants!$A$2:$D$41, 4, FALSE), "Merchant not found")</f>
        <v>North</v>
      </c>
      <c r="F93" s="4">
        <f>ledger!D93</f>
        <v>46047.683333333334</v>
      </c>
      <c r="G93" s="5">
        <f>ledger!I93</f>
        <v>46047</v>
      </c>
      <c r="H93" s="3">
        <f>ledger!E93</f>
        <v>299</v>
      </c>
      <c r="I93" s="3" t="str">
        <f>ledger!F93</f>
        <v>UPI</v>
      </c>
      <c r="J93" s="3" t="str">
        <f>ledger!G93</f>
        <v>captured</v>
      </c>
      <c r="K93" s="9">
        <f>HLOOKUP(I93,Fee!$B$1:$E$2,2,FALSE())</f>
        <v>5.0000000000000001E-3</v>
      </c>
      <c r="L93" s="12">
        <f t="shared" si="2"/>
        <v>1.4950000000000001</v>
      </c>
      <c r="M93" s="3">
        <f>SUMIFS(ledger!$E$2:$E$548, ledger!$C$2:$C$548, B93, ledger!$I$2:$I$548, G93)</f>
        <v>3896</v>
      </c>
      <c r="N93" s="3" t="str">
        <f t="shared" si="3"/>
        <v>Standard</v>
      </c>
    </row>
    <row r="94" spans="1:14" x14ac:dyDescent="0.3">
      <c r="A94" s="3" t="str">
        <f>ledger!A94</f>
        <v>TXN100092</v>
      </c>
      <c r="B94" s="3">
        <f>ledger!C94</f>
        <v>37</v>
      </c>
      <c r="C94" s="4" t="str">
        <f>IFERROR(VLOOKUP(B94, merchants!$A$2:$D$41, 2, FALSE), "Merchant not found")</f>
        <v>Merchant_037</v>
      </c>
      <c r="D94" s="3" t="str">
        <f>IFERROR(VLOOKUP(B94, merchants!$A$2:$D$41, 3, FALSE), "Merchant not found")</f>
        <v>entertainment</v>
      </c>
      <c r="E94" s="3" t="str">
        <f>IFERROR(VLOOKUP(B94, merchants!$A$2:$D$41, 4, FALSE), "Merchant not found")</f>
        <v>South</v>
      </c>
      <c r="F94" s="4">
        <f>ledger!D94</f>
        <v>46050.768750000003</v>
      </c>
      <c r="G94" s="5">
        <f>ledger!I94</f>
        <v>46050</v>
      </c>
      <c r="H94" s="3">
        <f>ledger!E94</f>
        <v>499</v>
      </c>
      <c r="I94" s="3" t="str">
        <f>ledger!F94</f>
        <v>Wallet</v>
      </c>
      <c r="J94" s="3" t="str">
        <f>ledger!G94</f>
        <v>captured</v>
      </c>
      <c r="K94" s="9">
        <f>HLOOKUP(I94,Fee!$B$1:$E$2,2,FALSE())</f>
        <v>1.4999999999999999E-2</v>
      </c>
      <c r="L94" s="12">
        <f t="shared" si="2"/>
        <v>7.4849999999999994</v>
      </c>
      <c r="M94" s="3">
        <f>SUMIFS(ledger!$E$2:$E$548, ledger!$C$2:$C$548, B94, ledger!$I$2:$I$548, G94)</f>
        <v>697</v>
      </c>
      <c r="N94" s="3" t="str">
        <f t="shared" si="3"/>
        <v>Standard</v>
      </c>
    </row>
    <row r="95" spans="1:14" x14ac:dyDescent="0.3">
      <c r="A95" s="3" t="str">
        <f>ledger!A95</f>
        <v>TXN100093</v>
      </c>
      <c r="B95" s="3">
        <f>ledger!C95</f>
        <v>14</v>
      </c>
      <c r="C95" s="4" t="str">
        <f>IFERROR(VLOOKUP(B95, merchants!$A$2:$D$41, 2, FALSE), "Merchant not found")</f>
        <v>Merchant_014</v>
      </c>
      <c r="D95" s="3" t="str">
        <f>IFERROR(VLOOKUP(B95, merchants!$A$2:$D$41, 3, FALSE), "Merchant not found")</f>
        <v>grocery</v>
      </c>
      <c r="E95" s="3" t="str">
        <f>IFERROR(VLOOKUP(B95, merchants!$A$2:$D$41, 4, FALSE), "Merchant not found")</f>
        <v>East</v>
      </c>
      <c r="F95" s="4">
        <f>ledger!D95</f>
        <v>46024.824305555558</v>
      </c>
      <c r="G95" s="5">
        <f>ledger!I95</f>
        <v>46024</v>
      </c>
      <c r="H95" s="3">
        <f>ledger!E95</f>
        <v>1499</v>
      </c>
      <c r="I95" s="3" t="str">
        <f>ledger!F95</f>
        <v>UPI</v>
      </c>
      <c r="J95" s="3" t="str">
        <f>ledger!G95</f>
        <v>captured</v>
      </c>
      <c r="K95" s="9">
        <f>HLOOKUP(I95,Fee!$B$1:$E$2,2,FALSE())</f>
        <v>5.0000000000000001E-3</v>
      </c>
      <c r="L95" s="12">
        <f t="shared" si="2"/>
        <v>7.4950000000000001</v>
      </c>
      <c r="M95" s="3">
        <f>SUMIFS(ledger!$E$2:$E$548, ledger!$C$2:$C$548, B95, ledger!$I$2:$I$548, G95)</f>
        <v>1499</v>
      </c>
      <c r="N95" s="3" t="str">
        <f t="shared" si="3"/>
        <v>Standard</v>
      </c>
    </row>
    <row r="96" spans="1:14" x14ac:dyDescent="0.3">
      <c r="A96" s="3" t="str">
        <f>ledger!A96</f>
        <v>TXN100094</v>
      </c>
      <c r="B96" s="3">
        <f>ledger!C96</f>
        <v>11</v>
      </c>
      <c r="C96" s="4" t="str">
        <f>IFERROR(VLOOKUP(B96, merchants!$A$2:$D$41, 2, FALSE), "Merchant not found")</f>
        <v>Merchant_011</v>
      </c>
      <c r="D96" s="3" t="str">
        <f>IFERROR(VLOOKUP(B96, merchants!$A$2:$D$41, 3, FALSE), "Merchant not found")</f>
        <v>ecommerce</v>
      </c>
      <c r="E96" s="3" t="str">
        <f>IFERROR(VLOOKUP(B96, merchants!$A$2:$D$41, 4, FALSE), "Merchant not found")</f>
        <v>North</v>
      </c>
      <c r="F96" s="4">
        <f>ledger!D96</f>
        <v>46029.362500000003</v>
      </c>
      <c r="G96" s="5">
        <f>ledger!I96</f>
        <v>46029</v>
      </c>
      <c r="H96" s="3">
        <f>ledger!E96</f>
        <v>49</v>
      </c>
      <c r="I96" s="3" t="str">
        <f>ledger!F96</f>
        <v>Wallet</v>
      </c>
      <c r="J96" s="3" t="str">
        <f>ledger!G96</f>
        <v>captured</v>
      </c>
      <c r="K96" s="9">
        <f>HLOOKUP(I96,Fee!$B$1:$E$2,2,FALSE())</f>
        <v>1.4999999999999999E-2</v>
      </c>
      <c r="L96" s="12">
        <f t="shared" si="2"/>
        <v>0.73499999999999999</v>
      </c>
      <c r="M96" s="3">
        <f>SUMIFS(ledger!$E$2:$E$548, ledger!$C$2:$C$548, B96, ledger!$I$2:$I$548, G96)</f>
        <v>49</v>
      </c>
      <c r="N96" s="3" t="str">
        <f t="shared" si="3"/>
        <v>Standard</v>
      </c>
    </row>
    <row r="97" spans="1:14" x14ac:dyDescent="0.3">
      <c r="A97" s="3" t="str">
        <f>ledger!A97</f>
        <v>TXN100095</v>
      </c>
      <c r="B97" s="3">
        <f>ledger!C97</f>
        <v>1</v>
      </c>
      <c r="C97" s="4" t="str">
        <f>IFERROR(VLOOKUP(B97, merchants!$A$2:$D$41, 2, FALSE), "Merchant not found")</f>
        <v>Merchant_001</v>
      </c>
      <c r="D97" s="3" t="str">
        <f>IFERROR(VLOOKUP(B97, merchants!$A$2:$D$41, 3, FALSE), "Merchant not found")</f>
        <v>ecommerce</v>
      </c>
      <c r="E97" s="3" t="str">
        <f>IFERROR(VLOOKUP(B97, merchants!$A$2:$D$41, 4, FALSE), "Merchant not found")</f>
        <v>South</v>
      </c>
      <c r="F97" s="4">
        <f>ledger!D97</f>
        <v>46028.711111111108</v>
      </c>
      <c r="G97" s="5">
        <f>ledger!I97</f>
        <v>46028</v>
      </c>
      <c r="H97" s="3">
        <f>ledger!E97</f>
        <v>149</v>
      </c>
      <c r="I97" s="3" t="str">
        <f>ledger!F97</f>
        <v>UPI</v>
      </c>
      <c r="J97" s="3" t="str">
        <f>ledger!G97</f>
        <v>captured</v>
      </c>
      <c r="K97" s="9">
        <f>HLOOKUP(I97,Fee!$B$1:$E$2,2,FALSE())</f>
        <v>5.0000000000000001E-3</v>
      </c>
      <c r="L97" s="12">
        <f t="shared" si="2"/>
        <v>0.745</v>
      </c>
      <c r="M97" s="3">
        <f>SUMIFS(ledger!$E$2:$E$548, ledger!$C$2:$C$548, B97, ledger!$I$2:$I$548, G97)</f>
        <v>149</v>
      </c>
      <c r="N97" s="3" t="str">
        <f t="shared" si="3"/>
        <v>Standard</v>
      </c>
    </row>
    <row r="98" spans="1:14" x14ac:dyDescent="0.3">
      <c r="A98" s="3" t="str">
        <f>ledger!A98</f>
        <v>TXN100096</v>
      </c>
      <c r="B98" s="3">
        <f>ledger!C98</f>
        <v>19</v>
      </c>
      <c r="C98" s="4" t="str">
        <f>IFERROR(VLOOKUP(B98, merchants!$A$2:$D$41, 2, FALSE), "Merchant not found")</f>
        <v>Merchant_019</v>
      </c>
      <c r="D98" s="3" t="str">
        <f>IFERROR(VLOOKUP(B98, merchants!$A$2:$D$41, 3, FALSE), "Merchant not found")</f>
        <v>grocery</v>
      </c>
      <c r="E98" s="3" t="str">
        <f>IFERROR(VLOOKUP(B98, merchants!$A$2:$D$41, 4, FALSE), "Merchant not found")</f>
        <v>North</v>
      </c>
      <c r="F98" s="4">
        <f>ledger!D98</f>
        <v>46037.943055555559</v>
      </c>
      <c r="G98" s="5">
        <f>ledger!I98</f>
        <v>46037</v>
      </c>
      <c r="H98" s="3">
        <f>ledger!E98</f>
        <v>299</v>
      </c>
      <c r="I98" s="3" t="str">
        <f>ledger!F98</f>
        <v>UPI</v>
      </c>
      <c r="J98" s="3" t="str">
        <f>ledger!G98</f>
        <v>captured</v>
      </c>
      <c r="K98" s="9">
        <f>HLOOKUP(I98,Fee!$B$1:$E$2,2,FALSE())</f>
        <v>5.0000000000000001E-3</v>
      </c>
      <c r="L98" s="12">
        <f t="shared" si="2"/>
        <v>1.4950000000000001</v>
      </c>
      <c r="M98" s="3">
        <f>SUMIFS(ledger!$E$2:$E$548, ledger!$C$2:$C$548, B98, ledger!$I$2:$I$548, G98)</f>
        <v>398</v>
      </c>
      <c r="N98" s="3" t="str">
        <f t="shared" si="3"/>
        <v>Standard</v>
      </c>
    </row>
    <row r="99" spans="1:14" x14ac:dyDescent="0.3">
      <c r="A99" s="3" t="str">
        <f>ledger!A99</f>
        <v>TXN100097</v>
      </c>
      <c r="B99" s="3">
        <f>ledger!C99</f>
        <v>30</v>
      </c>
      <c r="C99" s="4" t="str">
        <f>IFERROR(VLOOKUP(B99, merchants!$A$2:$D$41, 2, FALSE), "Merchant not found")</f>
        <v>Merchant_030</v>
      </c>
      <c r="D99" s="3" t="str">
        <f>IFERROR(VLOOKUP(B99, merchants!$A$2:$D$41, 3, FALSE), "Merchant not found")</f>
        <v>travel</v>
      </c>
      <c r="E99" s="3" t="str">
        <f>IFERROR(VLOOKUP(B99, merchants!$A$2:$D$41, 4, FALSE), "Merchant not found")</f>
        <v>West</v>
      </c>
      <c r="F99" s="4">
        <f>ledger!D99</f>
        <v>46030.40625</v>
      </c>
      <c r="G99" s="5">
        <f>ledger!I99</f>
        <v>46030</v>
      </c>
      <c r="H99" s="3">
        <f>ledger!E99</f>
        <v>799</v>
      </c>
      <c r="I99" s="3" t="str">
        <f>ledger!F99</f>
        <v>UPI</v>
      </c>
      <c r="J99" s="3" t="str">
        <f>ledger!G99</f>
        <v>captured</v>
      </c>
      <c r="K99" s="9">
        <f>HLOOKUP(I99,Fee!$B$1:$E$2,2,FALSE())</f>
        <v>5.0000000000000001E-3</v>
      </c>
      <c r="L99" s="12">
        <f t="shared" si="2"/>
        <v>3.9950000000000001</v>
      </c>
      <c r="M99" s="3">
        <f>SUMIFS(ledger!$E$2:$E$548, ledger!$C$2:$C$548, B99, ledger!$I$2:$I$548, G99)</f>
        <v>1197</v>
      </c>
      <c r="N99" s="3" t="str">
        <f t="shared" si="3"/>
        <v>Standard</v>
      </c>
    </row>
    <row r="100" spans="1:14" x14ac:dyDescent="0.3">
      <c r="A100" s="3" t="str">
        <f>ledger!A100</f>
        <v>TXN100098</v>
      </c>
      <c r="B100" s="3">
        <f>ledger!C100</f>
        <v>38</v>
      </c>
      <c r="C100" s="4" t="str">
        <f>IFERROR(VLOOKUP(B100, merchants!$A$2:$D$41, 2, FALSE), "Merchant not found")</f>
        <v>Merchant_038</v>
      </c>
      <c r="D100" s="3" t="str">
        <f>IFERROR(VLOOKUP(B100, merchants!$A$2:$D$41, 3, FALSE), "Merchant not found")</f>
        <v>grocery</v>
      </c>
      <c r="E100" s="3" t="str">
        <f>IFERROR(VLOOKUP(B100, merchants!$A$2:$D$41, 4, FALSE), "Merchant not found")</f>
        <v>East</v>
      </c>
      <c r="F100" s="4">
        <f>ledger!D100</f>
        <v>46044.332638888889</v>
      </c>
      <c r="G100" s="5">
        <f>ledger!I100</f>
        <v>46044</v>
      </c>
      <c r="H100" s="3">
        <f>ledger!E100</f>
        <v>299</v>
      </c>
      <c r="I100" s="3" t="str">
        <f>ledger!F100</f>
        <v>Card</v>
      </c>
      <c r="J100" s="3" t="str">
        <f>ledger!G100</f>
        <v>captured</v>
      </c>
      <c r="K100" s="9">
        <f>HLOOKUP(I100,Fee!$B$1:$E$2,2,FALSE())</f>
        <v>0.02</v>
      </c>
      <c r="L100" s="12">
        <f t="shared" si="2"/>
        <v>5.98</v>
      </c>
      <c r="M100" s="3">
        <f>SUMIFS(ledger!$E$2:$E$548, ledger!$C$2:$C$548, B100, ledger!$I$2:$I$548, G100)</f>
        <v>299</v>
      </c>
      <c r="N100" s="3" t="str">
        <f t="shared" si="3"/>
        <v>Standard</v>
      </c>
    </row>
    <row r="101" spans="1:14" x14ac:dyDescent="0.3">
      <c r="A101" s="3" t="str">
        <f>ledger!A101</f>
        <v>TXN100099</v>
      </c>
      <c r="B101" s="3">
        <f>ledger!C101</f>
        <v>35</v>
      </c>
      <c r="C101" s="4" t="str">
        <f>IFERROR(VLOOKUP(B101, merchants!$A$2:$D$41, 2, FALSE), "Merchant not found")</f>
        <v>Merchant_035</v>
      </c>
      <c r="D101" s="3" t="str">
        <f>IFERROR(VLOOKUP(B101, merchants!$A$2:$D$41, 3, FALSE), "Merchant not found")</f>
        <v>recharge</v>
      </c>
      <c r="E101" s="3" t="str">
        <f>IFERROR(VLOOKUP(B101, merchants!$A$2:$D$41, 4, FALSE), "Merchant not found")</f>
        <v>East</v>
      </c>
      <c r="F101" s="4">
        <f>ledger!D101</f>
        <v>46048.268750000003</v>
      </c>
      <c r="G101" s="5">
        <f>ledger!I101</f>
        <v>46048</v>
      </c>
      <c r="H101" s="3">
        <f>ledger!E101</f>
        <v>499</v>
      </c>
      <c r="I101" s="3" t="str">
        <f>ledger!F101</f>
        <v>UPI</v>
      </c>
      <c r="J101" s="3" t="str">
        <f>ledger!G101</f>
        <v>captured</v>
      </c>
      <c r="K101" s="9">
        <f>HLOOKUP(I101,Fee!$B$1:$E$2,2,FALSE())</f>
        <v>5.0000000000000001E-3</v>
      </c>
      <c r="L101" s="12">
        <f t="shared" si="2"/>
        <v>2.4950000000000001</v>
      </c>
      <c r="M101" s="3">
        <f>SUMIFS(ledger!$E$2:$E$548, ledger!$C$2:$C$548, B101, ledger!$I$2:$I$548, G101)</f>
        <v>499</v>
      </c>
      <c r="N101" s="3" t="str">
        <f t="shared" si="3"/>
        <v>Standard</v>
      </c>
    </row>
    <row r="102" spans="1:14" x14ac:dyDescent="0.3">
      <c r="A102" s="3" t="str">
        <f>ledger!A102</f>
        <v>TXN100100</v>
      </c>
      <c r="B102" s="3">
        <f>ledger!C102</f>
        <v>10</v>
      </c>
      <c r="C102" s="4" t="str">
        <f>IFERROR(VLOOKUP(B102, merchants!$A$2:$D$41, 2, FALSE), "Merchant not found")</f>
        <v>Merchant_010</v>
      </c>
      <c r="D102" s="3" t="str">
        <f>IFERROR(VLOOKUP(B102, merchants!$A$2:$D$41, 3, FALSE), "Merchant not found")</f>
        <v>grocery</v>
      </c>
      <c r="E102" s="3" t="str">
        <f>IFERROR(VLOOKUP(B102, merchants!$A$2:$D$41, 4, FALSE), "Merchant not found")</f>
        <v>West</v>
      </c>
      <c r="F102" s="4">
        <f>ledger!D102</f>
        <v>46043.206944444442</v>
      </c>
      <c r="G102" s="5">
        <f>ledger!I102</f>
        <v>46043</v>
      </c>
      <c r="H102" s="3">
        <f>ledger!E102</f>
        <v>299</v>
      </c>
      <c r="I102" s="3" t="str">
        <f>ledger!F102</f>
        <v>UPI</v>
      </c>
      <c r="J102" s="3" t="str">
        <f>ledger!G102</f>
        <v>captured</v>
      </c>
      <c r="K102" s="9">
        <f>HLOOKUP(I102,Fee!$B$1:$E$2,2,FALSE())</f>
        <v>5.0000000000000001E-3</v>
      </c>
      <c r="L102" s="12">
        <f t="shared" si="2"/>
        <v>1.4950000000000001</v>
      </c>
      <c r="M102" s="3">
        <f>SUMIFS(ledger!$E$2:$E$548, ledger!$C$2:$C$548, B102, ledger!$I$2:$I$548, G102)</f>
        <v>398</v>
      </c>
      <c r="N102" s="3" t="str">
        <f t="shared" si="3"/>
        <v>Standard</v>
      </c>
    </row>
    <row r="103" spans="1:14" x14ac:dyDescent="0.3">
      <c r="A103" s="3" t="str">
        <f>ledger!A103</f>
        <v>TXN100101</v>
      </c>
      <c r="B103" s="3">
        <f>ledger!C103</f>
        <v>39</v>
      </c>
      <c r="C103" s="4" t="str">
        <f>IFERROR(VLOOKUP(B103, merchants!$A$2:$D$41, 2, FALSE), "Merchant not found")</f>
        <v>Merchant_039</v>
      </c>
      <c r="D103" s="3" t="str">
        <f>IFERROR(VLOOKUP(B103, merchants!$A$2:$D$41, 3, FALSE), "Merchant not found")</f>
        <v>entertainment</v>
      </c>
      <c r="E103" s="3" t="str">
        <f>IFERROR(VLOOKUP(B103, merchants!$A$2:$D$41, 4, FALSE), "Merchant not found")</f>
        <v>North</v>
      </c>
      <c r="F103" s="4">
        <f>ledger!D103</f>
        <v>46024.243055555555</v>
      </c>
      <c r="G103" s="5">
        <f>ledger!I103</f>
        <v>46024</v>
      </c>
      <c r="H103" s="3">
        <f>ledger!E103</f>
        <v>499</v>
      </c>
      <c r="I103" s="3" t="str">
        <f>ledger!F103</f>
        <v>Netbanking</v>
      </c>
      <c r="J103" s="3" t="str">
        <f>ledger!G103</f>
        <v>captured</v>
      </c>
      <c r="K103" s="9">
        <f>HLOOKUP(I103,Fee!$B$1:$E$2,2,FALSE())</f>
        <v>1.7999999999999999E-2</v>
      </c>
      <c r="L103" s="12">
        <f t="shared" si="2"/>
        <v>8.9819999999999993</v>
      </c>
      <c r="M103" s="3">
        <f>SUMIFS(ledger!$E$2:$E$548, ledger!$C$2:$C$548, B103, ledger!$I$2:$I$548, G103)</f>
        <v>499</v>
      </c>
      <c r="N103" s="3" t="str">
        <f t="shared" si="3"/>
        <v>Standard</v>
      </c>
    </row>
    <row r="104" spans="1:14" x14ac:dyDescent="0.3">
      <c r="A104" s="3" t="str">
        <f>ledger!A104</f>
        <v>TXN100102</v>
      </c>
      <c r="B104" s="3">
        <f>ledger!C104</f>
        <v>29</v>
      </c>
      <c r="C104" s="4" t="str">
        <f>IFERROR(VLOOKUP(B104, merchants!$A$2:$D$41, 2, FALSE), "Merchant not found")</f>
        <v>Merchant_029</v>
      </c>
      <c r="D104" s="3" t="str">
        <f>IFERROR(VLOOKUP(B104, merchants!$A$2:$D$41, 3, FALSE), "Merchant not found")</f>
        <v>ecommerce</v>
      </c>
      <c r="E104" s="3" t="str">
        <f>IFERROR(VLOOKUP(B104, merchants!$A$2:$D$41, 4, FALSE), "Merchant not found")</f>
        <v>North</v>
      </c>
      <c r="F104" s="4">
        <f>ledger!D104</f>
        <v>46049.790277777778</v>
      </c>
      <c r="G104" s="5">
        <f>ledger!I104</f>
        <v>46049</v>
      </c>
      <c r="H104" s="3">
        <f>ledger!E104</f>
        <v>99</v>
      </c>
      <c r="I104" s="3" t="str">
        <f>ledger!F104</f>
        <v>Card</v>
      </c>
      <c r="J104" s="3" t="str">
        <f>ledger!G104</f>
        <v>captured</v>
      </c>
      <c r="K104" s="9">
        <f>HLOOKUP(I104,Fee!$B$1:$E$2,2,FALSE())</f>
        <v>0.02</v>
      </c>
      <c r="L104" s="12">
        <f t="shared" si="2"/>
        <v>1.98</v>
      </c>
      <c r="M104" s="3">
        <f>SUMIFS(ledger!$E$2:$E$548, ledger!$C$2:$C$548, B104, ledger!$I$2:$I$548, G104)</f>
        <v>898</v>
      </c>
      <c r="N104" s="3" t="str">
        <f t="shared" si="3"/>
        <v>Standard</v>
      </c>
    </row>
    <row r="105" spans="1:14" x14ac:dyDescent="0.3">
      <c r="A105" s="3" t="str">
        <f>ledger!A105</f>
        <v>TXN100103</v>
      </c>
      <c r="B105" s="3">
        <f>ledger!C105</f>
        <v>18</v>
      </c>
      <c r="C105" s="4" t="str">
        <f>IFERROR(VLOOKUP(B105, merchants!$A$2:$D$41, 2, FALSE), "Merchant not found")</f>
        <v>Merchant_018</v>
      </c>
      <c r="D105" s="3" t="str">
        <f>IFERROR(VLOOKUP(B105, merchants!$A$2:$D$41, 3, FALSE), "Merchant not found")</f>
        <v>grocery</v>
      </c>
      <c r="E105" s="3" t="str">
        <f>IFERROR(VLOOKUP(B105, merchants!$A$2:$D$41, 4, FALSE), "Merchant not found")</f>
        <v>West</v>
      </c>
      <c r="F105" s="4">
        <f>ledger!D105</f>
        <v>46037.929861111108</v>
      </c>
      <c r="G105" s="5">
        <f>ledger!I105</f>
        <v>46037</v>
      </c>
      <c r="H105" s="3">
        <f>ledger!E105</f>
        <v>149</v>
      </c>
      <c r="I105" s="3" t="str">
        <f>ledger!F105</f>
        <v>UPI</v>
      </c>
      <c r="J105" s="3" t="str">
        <f>ledger!G105</f>
        <v>captured</v>
      </c>
      <c r="K105" s="9">
        <f>HLOOKUP(I105,Fee!$B$1:$E$2,2,FALSE())</f>
        <v>5.0000000000000001E-3</v>
      </c>
      <c r="L105" s="12">
        <f t="shared" si="2"/>
        <v>0.745</v>
      </c>
      <c r="M105" s="3">
        <f>SUMIFS(ledger!$E$2:$E$548, ledger!$C$2:$C$548, B105, ledger!$I$2:$I$548, G105)</f>
        <v>149</v>
      </c>
      <c r="N105" s="3" t="str">
        <f t="shared" si="3"/>
        <v>Standard</v>
      </c>
    </row>
    <row r="106" spans="1:14" x14ac:dyDescent="0.3">
      <c r="A106" s="3" t="str">
        <f>ledger!A106</f>
        <v>TXN100104</v>
      </c>
      <c r="B106" s="3">
        <f>ledger!C106</f>
        <v>39</v>
      </c>
      <c r="C106" s="4" t="str">
        <f>IFERROR(VLOOKUP(B106, merchants!$A$2:$D$41, 2, FALSE), "Merchant not found")</f>
        <v>Merchant_039</v>
      </c>
      <c r="D106" s="3" t="str">
        <f>IFERROR(VLOOKUP(B106, merchants!$A$2:$D$41, 3, FALSE), "Merchant not found")</f>
        <v>entertainment</v>
      </c>
      <c r="E106" s="3" t="str">
        <f>IFERROR(VLOOKUP(B106, merchants!$A$2:$D$41, 4, FALSE), "Merchant not found")</f>
        <v>North</v>
      </c>
      <c r="F106" s="4">
        <f>ledger!D106</f>
        <v>46040.644444444442</v>
      </c>
      <c r="G106" s="5">
        <f>ledger!I106</f>
        <v>46040</v>
      </c>
      <c r="H106" s="3">
        <f>ledger!E106</f>
        <v>2999</v>
      </c>
      <c r="I106" s="3" t="str">
        <f>ledger!F106</f>
        <v>Card</v>
      </c>
      <c r="J106" s="3" t="str">
        <f>ledger!G106</f>
        <v>captured</v>
      </c>
      <c r="K106" s="9">
        <f>HLOOKUP(I106,Fee!$B$1:$E$2,2,FALSE())</f>
        <v>0.02</v>
      </c>
      <c r="L106" s="12">
        <f t="shared" si="2"/>
        <v>59.980000000000004</v>
      </c>
      <c r="M106" s="3">
        <f>SUMIFS(ledger!$E$2:$E$548, ledger!$C$2:$C$548, B106, ledger!$I$2:$I$548, G106)</f>
        <v>2999</v>
      </c>
      <c r="N106" s="3" t="str">
        <f t="shared" si="3"/>
        <v>Standard</v>
      </c>
    </row>
    <row r="107" spans="1:14" x14ac:dyDescent="0.3">
      <c r="A107" s="3" t="str">
        <f>ledger!A107</f>
        <v>TXN100105</v>
      </c>
      <c r="B107" s="3">
        <f>ledger!C107</f>
        <v>39</v>
      </c>
      <c r="C107" s="4" t="str">
        <f>IFERROR(VLOOKUP(B107, merchants!$A$2:$D$41, 2, FALSE), "Merchant not found")</f>
        <v>Merchant_039</v>
      </c>
      <c r="D107" s="3" t="str">
        <f>IFERROR(VLOOKUP(B107, merchants!$A$2:$D$41, 3, FALSE), "Merchant not found")</f>
        <v>entertainment</v>
      </c>
      <c r="E107" s="3" t="str">
        <f>IFERROR(VLOOKUP(B107, merchants!$A$2:$D$41, 4, FALSE), "Merchant not found")</f>
        <v>North</v>
      </c>
      <c r="F107" s="4">
        <f>ledger!D107</f>
        <v>46051.574305555558</v>
      </c>
      <c r="G107" s="5">
        <f>ledger!I107</f>
        <v>46051</v>
      </c>
      <c r="H107" s="3">
        <f>ledger!E107</f>
        <v>149</v>
      </c>
      <c r="I107" s="3" t="str">
        <f>ledger!F107</f>
        <v>UPI</v>
      </c>
      <c r="J107" s="3" t="str">
        <f>ledger!G107</f>
        <v>captured</v>
      </c>
      <c r="K107" s="9">
        <f>HLOOKUP(I107,Fee!$B$1:$E$2,2,FALSE())</f>
        <v>5.0000000000000001E-3</v>
      </c>
      <c r="L107" s="12">
        <f t="shared" si="2"/>
        <v>0.745</v>
      </c>
      <c r="M107" s="3">
        <f>SUMIFS(ledger!$E$2:$E$548, ledger!$C$2:$C$548, B107, ledger!$I$2:$I$548, G107)</f>
        <v>149</v>
      </c>
      <c r="N107" s="3" t="str">
        <f t="shared" si="3"/>
        <v>Standard</v>
      </c>
    </row>
    <row r="108" spans="1:14" x14ac:dyDescent="0.3">
      <c r="A108" s="3" t="str">
        <f>ledger!A108</f>
        <v>TXN100106</v>
      </c>
      <c r="B108" s="3">
        <f>ledger!C108</f>
        <v>37</v>
      </c>
      <c r="C108" s="4" t="str">
        <f>IFERROR(VLOOKUP(B108, merchants!$A$2:$D$41, 2, FALSE), "Merchant not found")</f>
        <v>Merchant_037</v>
      </c>
      <c r="D108" s="3" t="str">
        <f>IFERROR(VLOOKUP(B108, merchants!$A$2:$D$41, 3, FALSE), "Merchant not found")</f>
        <v>entertainment</v>
      </c>
      <c r="E108" s="3" t="str">
        <f>IFERROR(VLOOKUP(B108, merchants!$A$2:$D$41, 4, FALSE), "Merchant not found")</f>
        <v>South</v>
      </c>
      <c r="F108" s="4">
        <f>ledger!D108</f>
        <v>46023.093055555553</v>
      </c>
      <c r="G108" s="5">
        <f>ledger!I108</f>
        <v>46023</v>
      </c>
      <c r="H108" s="3">
        <f>ledger!E108</f>
        <v>99</v>
      </c>
      <c r="I108" s="3" t="str">
        <f>ledger!F108</f>
        <v>UPI</v>
      </c>
      <c r="J108" s="3" t="str">
        <f>ledger!G108</f>
        <v>captured</v>
      </c>
      <c r="K108" s="9">
        <f>HLOOKUP(I108,Fee!$B$1:$E$2,2,FALSE())</f>
        <v>5.0000000000000001E-3</v>
      </c>
      <c r="L108" s="12">
        <f t="shared" si="2"/>
        <v>0.495</v>
      </c>
      <c r="M108" s="3">
        <f>SUMIFS(ledger!$E$2:$E$548, ledger!$C$2:$C$548, B108, ledger!$I$2:$I$548, G108)</f>
        <v>598</v>
      </c>
      <c r="N108" s="3" t="str">
        <f t="shared" si="3"/>
        <v>Standard</v>
      </c>
    </row>
    <row r="109" spans="1:14" x14ac:dyDescent="0.3">
      <c r="A109" s="3" t="str">
        <f>ledger!A109</f>
        <v>TXN100107</v>
      </c>
      <c r="B109" s="3">
        <f>ledger!C109</f>
        <v>37</v>
      </c>
      <c r="C109" s="4" t="str">
        <f>IFERROR(VLOOKUP(B109, merchants!$A$2:$D$41, 2, FALSE), "Merchant not found")</f>
        <v>Merchant_037</v>
      </c>
      <c r="D109" s="3" t="str">
        <f>IFERROR(VLOOKUP(B109, merchants!$A$2:$D$41, 3, FALSE), "Merchant not found")</f>
        <v>entertainment</v>
      </c>
      <c r="E109" s="3" t="str">
        <f>IFERROR(VLOOKUP(B109, merchants!$A$2:$D$41, 4, FALSE), "Merchant not found")</f>
        <v>South</v>
      </c>
      <c r="F109" s="4">
        <f>ledger!D109</f>
        <v>46023.911111111112</v>
      </c>
      <c r="G109" s="5">
        <f>ledger!I109</f>
        <v>46023</v>
      </c>
      <c r="H109" s="3">
        <f>ledger!E109</f>
        <v>499</v>
      </c>
      <c r="I109" s="3" t="str">
        <f>ledger!F109</f>
        <v>UPI</v>
      </c>
      <c r="J109" s="3" t="str">
        <f>ledger!G109</f>
        <v>captured</v>
      </c>
      <c r="K109" s="9">
        <f>HLOOKUP(I109,Fee!$B$1:$E$2,2,FALSE())</f>
        <v>5.0000000000000001E-3</v>
      </c>
      <c r="L109" s="12">
        <f t="shared" si="2"/>
        <v>2.4950000000000001</v>
      </c>
      <c r="M109" s="3">
        <f>SUMIFS(ledger!$E$2:$E$548, ledger!$C$2:$C$548, B109, ledger!$I$2:$I$548, G109)</f>
        <v>598</v>
      </c>
      <c r="N109" s="3" t="str">
        <f t="shared" si="3"/>
        <v>Standard</v>
      </c>
    </row>
    <row r="110" spans="1:14" x14ac:dyDescent="0.3">
      <c r="A110" s="3" t="str">
        <f>ledger!A110</f>
        <v>TXN100108</v>
      </c>
      <c r="B110" s="3">
        <f>ledger!C110</f>
        <v>29</v>
      </c>
      <c r="C110" s="4" t="str">
        <f>IFERROR(VLOOKUP(B110, merchants!$A$2:$D$41, 2, FALSE), "Merchant not found")</f>
        <v>Merchant_029</v>
      </c>
      <c r="D110" s="3" t="str">
        <f>IFERROR(VLOOKUP(B110, merchants!$A$2:$D$41, 3, FALSE), "Merchant not found")</f>
        <v>ecommerce</v>
      </c>
      <c r="E110" s="3" t="str">
        <f>IFERROR(VLOOKUP(B110, merchants!$A$2:$D$41, 4, FALSE), "Merchant not found")</f>
        <v>North</v>
      </c>
      <c r="F110" s="4">
        <f>ledger!D110</f>
        <v>46047.229166666664</v>
      </c>
      <c r="G110" s="5">
        <f>ledger!I110</f>
        <v>46047</v>
      </c>
      <c r="H110" s="3">
        <f>ledger!E110</f>
        <v>499</v>
      </c>
      <c r="I110" s="3" t="str">
        <f>ledger!F110</f>
        <v>Wallet</v>
      </c>
      <c r="J110" s="3" t="str">
        <f>ledger!G110</f>
        <v>failed</v>
      </c>
      <c r="K110" s="9">
        <f>HLOOKUP(I110,Fee!$B$1:$E$2,2,FALSE())</f>
        <v>1.4999999999999999E-2</v>
      </c>
      <c r="L110" s="12">
        <f t="shared" si="2"/>
        <v>7.4849999999999994</v>
      </c>
      <c r="M110" s="3">
        <f>SUMIFS(ledger!$E$2:$E$548, ledger!$C$2:$C$548, B110, ledger!$I$2:$I$548, G110)</f>
        <v>3896</v>
      </c>
      <c r="N110" s="3" t="str">
        <f t="shared" si="3"/>
        <v>Standard</v>
      </c>
    </row>
    <row r="111" spans="1:14" x14ac:dyDescent="0.3">
      <c r="A111" s="3" t="str">
        <f>ledger!A111</f>
        <v>TXN100109</v>
      </c>
      <c r="B111" s="3">
        <f>ledger!C111</f>
        <v>32</v>
      </c>
      <c r="C111" s="4" t="str">
        <f>IFERROR(VLOOKUP(B111, merchants!$A$2:$D$41, 2, FALSE), "Merchant not found")</f>
        <v>Merchant_032</v>
      </c>
      <c r="D111" s="3" t="str">
        <f>IFERROR(VLOOKUP(B111, merchants!$A$2:$D$41, 3, FALSE), "Merchant not found")</f>
        <v>food_delivery</v>
      </c>
      <c r="E111" s="3" t="str">
        <f>IFERROR(VLOOKUP(B111, merchants!$A$2:$D$41, 4, FALSE), "Merchant not found")</f>
        <v>West</v>
      </c>
      <c r="F111" s="4">
        <f>ledger!D111</f>
        <v>46028.768750000003</v>
      </c>
      <c r="G111" s="5">
        <f>ledger!I111</f>
        <v>46028</v>
      </c>
      <c r="H111" s="3">
        <f>ledger!E111</f>
        <v>149</v>
      </c>
      <c r="I111" s="3" t="str">
        <f>ledger!F111</f>
        <v>UPI</v>
      </c>
      <c r="J111" s="3" t="str">
        <f>ledger!G111</f>
        <v>captured</v>
      </c>
      <c r="K111" s="9">
        <f>HLOOKUP(I111,Fee!$B$1:$E$2,2,FALSE())</f>
        <v>5.0000000000000001E-3</v>
      </c>
      <c r="L111" s="12">
        <f t="shared" si="2"/>
        <v>0.745</v>
      </c>
      <c r="M111" s="3">
        <f>SUMIFS(ledger!$E$2:$E$548, ledger!$C$2:$C$548, B111, ledger!$I$2:$I$548, G111)</f>
        <v>149</v>
      </c>
      <c r="N111" s="3" t="str">
        <f t="shared" si="3"/>
        <v>Standard</v>
      </c>
    </row>
    <row r="112" spans="1:14" x14ac:dyDescent="0.3">
      <c r="A112" s="3" t="str">
        <f>ledger!A112</f>
        <v>TXN100110</v>
      </c>
      <c r="B112" s="3">
        <f>ledger!C112</f>
        <v>21</v>
      </c>
      <c r="C112" s="4" t="str">
        <f>IFERROR(VLOOKUP(B112, merchants!$A$2:$D$41, 2, FALSE), "Merchant not found")</f>
        <v>Merchant_021</v>
      </c>
      <c r="D112" s="3" t="str">
        <f>IFERROR(VLOOKUP(B112, merchants!$A$2:$D$41, 3, FALSE), "Merchant not found")</f>
        <v>food_delivery</v>
      </c>
      <c r="E112" s="3" t="str">
        <f>IFERROR(VLOOKUP(B112, merchants!$A$2:$D$41, 4, FALSE), "Merchant not found")</f>
        <v>East</v>
      </c>
      <c r="F112" s="4">
        <f>ledger!D112</f>
        <v>46038.476388888892</v>
      </c>
      <c r="G112" s="5">
        <f>ledger!I112</f>
        <v>46038</v>
      </c>
      <c r="H112" s="3">
        <f>ledger!E112</f>
        <v>799</v>
      </c>
      <c r="I112" s="3" t="str">
        <f>ledger!F112</f>
        <v>UPI</v>
      </c>
      <c r="J112" s="3" t="str">
        <f>ledger!G112</f>
        <v>captured</v>
      </c>
      <c r="K112" s="9">
        <f>HLOOKUP(I112,Fee!$B$1:$E$2,2,FALSE())</f>
        <v>5.0000000000000001E-3</v>
      </c>
      <c r="L112" s="12">
        <f t="shared" si="2"/>
        <v>3.9950000000000001</v>
      </c>
      <c r="M112" s="3">
        <f>SUMIFS(ledger!$E$2:$E$548, ledger!$C$2:$C$548, B112, ledger!$I$2:$I$548, G112)</f>
        <v>799</v>
      </c>
      <c r="N112" s="3" t="str">
        <f t="shared" si="3"/>
        <v>Standard</v>
      </c>
    </row>
    <row r="113" spans="1:14" x14ac:dyDescent="0.3">
      <c r="A113" s="3" t="str">
        <f>ledger!A113</f>
        <v>TXN100111</v>
      </c>
      <c r="B113" s="3">
        <f>ledger!C113</f>
        <v>32</v>
      </c>
      <c r="C113" s="4" t="str">
        <f>IFERROR(VLOOKUP(B113, merchants!$A$2:$D$41, 2, FALSE), "Merchant not found")</f>
        <v>Merchant_032</v>
      </c>
      <c r="D113" s="3" t="str">
        <f>IFERROR(VLOOKUP(B113, merchants!$A$2:$D$41, 3, FALSE), "Merchant not found")</f>
        <v>food_delivery</v>
      </c>
      <c r="E113" s="3" t="str">
        <f>IFERROR(VLOOKUP(B113, merchants!$A$2:$D$41, 4, FALSE), "Merchant not found")</f>
        <v>West</v>
      </c>
      <c r="F113" s="4">
        <f>ledger!D113</f>
        <v>46026.222916666666</v>
      </c>
      <c r="G113" s="5">
        <f>ledger!I113</f>
        <v>46026</v>
      </c>
      <c r="H113" s="3">
        <f>ledger!E113</f>
        <v>49</v>
      </c>
      <c r="I113" s="3" t="str">
        <f>ledger!F113</f>
        <v>UPI</v>
      </c>
      <c r="J113" s="3" t="str">
        <f>ledger!G113</f>
        <v>captured</v>
      </c>
      <c r="K113" s="9">
        <f>HLOOKUP(I113,Fee!$B$1:$E$2,2,FALSE())</f>
        <v>5.0000000000000001E-3</v>
      </c>
      <c r="L113" s="12">
        <f t="shared" si="2"/>
        <v>0.245</v>
      </c>
      <c r="M113" s="3">
        <f>SUMIFS(ledger!$E$2:$E$548, ledger!$C$2:$C$548, B113, ledger!$I$2:$I$548, G113)</f>
        <v>49</v>
      </c>
      <c r="N113" s="3" t="str">
        <f t="shared" si="3"/>
        <v>Standard</v>
      </c>
    </row>
    <row r="114" spans="1:14" x14ac:dyDescent="0.3">
      <c r="A114" s="3" t="str">
        <f>ledger!A114</f>
        <v>TXN100112</v>
      </c>
      <c r="B114" s="3">
        <f>ledger!C114</f>
        <v>3</v>
      </c>
      <c r="C114" s="4" t="str">
        <f>IFERROR(VLOOKUP(B114, merchants!$A$2:$D$41, 2, FALSE), "Merchant not found")</f>
        <v>Merchant_003</v>
      </c>
      <c r="D114" s="3" t="str">
        <f>IFERROR(VLOOKUP(B114, merchants!$A$2:$D$41, 3, FALSE), "Merchant not found")</f>
        <v>grocery</v>
      </c>
      <c r="E114" s="3" t="str">
        <f>IFERROR(VLOOKUP(B114, merchants!$A$2:$D$41, 4, FALSE), "Merchant not found")</f>
        <v>East</v>
      </c>
      <c r="F114" s="4">
        <f>ledger!D114</f>
        <v>46044.536111111112</v>
      </c>
      <c r="G114" s="5">
        <f>ledger!I114</f>
        <v>46044</v>
      </c>
      <c r="H114" s="3">
        <f>ledger!E114</f>
        <v>499</v>
      </c>
      <c r="I114" s="3" t="str">
        <f>ledger!F114</f>
        <v>UPI</v>
      </c>
      <c r="J114" s="3" t="str">
        <f>ledger!G114</f>
        <v>captured</v>
      </c>
      <c r="K114" s="9">
        <f>HLOOKUP(I114,Fee!$B$1:$E$2,2,FALSE())</f>
        <v>5.0000000000000001E-3</v>
      </c>
      <c r="L114" s="12">
        <f t="shared" si="2"/>
        <v>2.4950000000000001</v>
      </c>
      <c r="M114" s="3">
        <f>SUMIFS(ledger!$E$2:$E$548, ledger!$C$2:$C$548, B114, ledger!$I$2:$I$548, G114)</f>
        <v>499</v>
      </c>
      <c r="N114" s="3" t="str">
        <f t="shared" si="3"/>
        <v>Standard</v>
      </c>
    </row>
    <row r="115" spans="1:14" x14ac:dyDescent="0.3">
      <c r="A115" s="3" t="str">
        <f>ledger!A115</f>
        <v>TXN100113</v>
      </c>
      <c r="B115" s="3">
        <f>ledger!C115</f>
        <v>8</v>
      </c>
      <c r="C115" s="4" t="str">
        <f>IFERROR(VLOOKUP(B115, merchants!$A$2:$D$41, 2, FALSE), "Merchant not found")</f>
        <v>Merchant_008</v>
      </c>
      <c r="D115" s="3" t="str">
        <f>IFERROR(VLOOKUP(B115, merchants!$A$2:$D$41, 3, FALSE), "Merchant not found")</f>
        <v>food_delivery</v>
      </c>
      <c r="E115" s="3" t="str">
        <f>IFERROR(VLOOKUP(B115, merchants!$A$2:$D$41, 4, FALSE), "Merchant not found")</f>
        <v>North</v>
      </c>
      <c r="F115" s="4">
        <f>ledger!D115</f>
        <v>46025.427777777775</v>
      </c>
      <c r="G115" s="5">
        <f>ledger!I115</f>
        <v>46025</v>
      </c>
      <c r="H115" s="3">
        <f>ledger!E115</f>
        <v>299</v>
      </c>
      <c r="I115" s="3" t="str">
        <f>ledger!F115</f>
        <v>UPI</v>
      </c>
      <c r="J115" s="3" t="str">
        <f>ledger!G115</f>
        <v>captured</v>
      </c>
      <c r="K115" s="9">
        <f>HLOOKUP(I115,Fee!$B$1:$E$2,2,FALSE())</f>
        <v>5.0000000000000001E-3</v>
      </c>
      <c r="L115" s="12">
        <f t="shared" si="2"/>
        <v>1.4950000000000001</v>
      </c>
      <c r="M115" s="3">
        <f>SUMIFS(ledger!$E$2:$E$548, ledger!$C$2:$C$548, B115, ledger!$I$2:$I$548, G115)</f>
        <v>299</v>
      </c>
      <c r="N115" s="3" t="str">
        <f t="shared" si="3"/>
        <v>Standard</v>
      </c>
    </row>
    <row r="116" spans="1:14" x14ac:dyDescent="0.3">
      <c r="A116" s="3" t="str">
        <f>ledger!A116</f>
        <v>TXN100114</v>
      </c>
      <c r="B116" s="3">
        <f>ledger!C116</f>
        <v>35</v>
      </c>
      <c r="C116" s="4" t="str">
        <f>IFERROR(VLOOKUP(B116, merchants!$A$2:$D$41, 2, FALSE), "Merchant not found")</f>
        <v>Merchant_035</v>
      </c>
      <c r="D116" s="3" t="str">
        <f>IFERROR(VLOOKUP(B116, merchants!$A$2:$D$41, 3, FALSE), "Merchant not found")</f>
        <v>recharge</v>
      </c>
      <c r="E116" s="3" t="str">
        <f>IFERROR(VLOOKUP(B116, merchants!$A$2:$D$41, 4, FALSE), "Merchant not found")</f>
        <v>East</v>
      </c>
      <c r="F116" s="4">
        <f>ledger!D116</f>
        <v>46035.702777777777</v>
      </c>
      <c r="G116" s="5">
        <f>ledger!I116</f>
        <v>46035</v>
      </c>
      <c r="H116" s="3">
        <f>ledger!E116</f>
        <v>149</v>
      </c>
      <c r="I116" s="3" t="str">
        <f>ledger!F116</f>
        <v>UPI</v>
      </c>
      <c r="J116" s="3" t="str">
        <f>ledger!G116</f>
        <v>captured</v>
      </c>
      <c r="K116" s="9">
        <f>HLOOKUP(I116,Fee!$B$1:$E$2,2,FALSE())</f>
        <v>5.0000000000000001E-3</v>
      </c>
      <c r="L116" s="12">
        <f t="shared" si="2"/>
        <v>0.745</v>
      </c>
      <c r="M116" s="3">
        <f>SUMIFS(ledger!$E$2:$E$548, ledger!$C$2:$C$548, B116, ledger!$I$2:$I$548, G116)</f>
        <v>149</v>
      </c>
      <c r="N116" s="3" t="str">
        <f t="shared" si="3"/>
        <v>Standard</v>
      </c>
    </row>
    <row r="117" spans="1:14" x14ac:dyDescent="0.3">
      <c r="A117" s="3" t="str">
        <f>ledger!A117</f>
        <v>TXN100115</v>
      </c>
      <c r="B117" s="3">
        <f>ledger!C117</f>
        <v>24</v>
      </c>
      <c r="C117" s="4" t="str">
        <f>IFERROR(VLOOKUP(B117, merchants!$A$2:$D$41, 2, FALSE), "Merchant not found")</f>
        <v>Merchant_024</v>
      </c>
      <c r="D117" s="3" t="str">
        <f>IFERROR(VLOOKUP(B117, merchants!$A$2:$D$41, 3, FALSE), "Merchant not found")</f>
        <v>grocery</v>
      </c>
      <c r="E117" s="3" t="str">
        <f>IFERROR(VLOOKUP(B117, merchants!$A$2:$D$41, 4, FALSE), "Merchant not found")</f>
        <v>North</v>
      </c>
      <c r="F117" s="4">
        <f>ledger!D117</f>
        <v>46036.05</v>
      </c>
      <c r="G117" s="5">
        <f>ledger!I117</f>
        <v>46036</v>
      </c>
      <c r="H117" s="3">
        <f>ledger!E117</f>
        <v>499</v>
      </c>
      <c r="I117" s="3" t="str">
        <f>ledger!F117</f>
        <v>UPI</v>
      </c>
      <c r="J117" s="3" t="str">
        <f>ledger!G117</f>
        <v>captured</v>
      </c>
      <c r="K117" s="9">
        <f>HLOOKUP(I117,Fee!$B$1:$E$2,2,FALSE())</f>
        <v>5.0000000000000001E-3</v>
      </c>
      <c r="L117" s="12">
        <f t="shared" si="2"/>
        <v>2.4950000000000001</v>
      </c>
      <c r="M117" s="3">
        <f>SUMIFS(ledger!$E$2:$E$548, ledger!$C$2:$C$548, B117, ledger!$I$2:$I$548, G117)</f>
        <v>499</v>
      </c>
      <c r="N117" s="3" t="str">
        <f t="shared" si="3"/>
        <v>Standard</v>
      </c>
    </row>
    <row r="118" spans="1:14" x14ac:dyDescent="0.3">
      <c r="A118" s="3" t="str">
        <f>ledger!A118</f>
        <v>TXN100116</v>
      </c>
      <c r="B118" s="3">
        <f>ledger!C118</f>
        <v>4</v>
      </c>
      <c r="C118" s="4" t="str">
        <f>IFERROR(VLOOKUP(B118, merchants!$A$2:$D$41, 2, FALSE), "Merchant not found")</f>
        <v>Merchant_004</v>
      </c>
      <c r="D118" s="3" t="str">
        <f>IFERROR(VLOOKUP(B118, merchants!$A$2:$D$41, 3, FALSE), "Merchant not found")</f>
        <v>ecommerce</v>
      </c>
      <c r="E118" s="3" t="str">
        <f>IFERROR(VLOOKUP(B118, merchants!$A$2:$D$41, 4, FALSE), "Merchant not found")</f>
        <v>East</v>
      </c>
      <c r="F118" s="4">
        <f>ledger!D118</f>
        <v>46047.652777777781</v>
      </c>
      <c r="G118" s="5">
        <f>ledger!I118</f>
        <v>46047</v>
      </c>
      <c r="H118" s="3">
        <f>ledger!E118</f>
        <v>499</v>
      </c>
      <c r="I118" s="3" t="str">
        <f>ledger!F118</f>
        <v>UPI</v>
      </c>
      <c r="J118" s="3" t="str">
        <f>ledger!G118</f>
        <v>captured</v>
      </c>
      <c r="K118" s="9">
        <f>HLOOKUP(I118,Fee!$B$1:$E$2,2,FALSE())</f>
        <v>5.0000000000000001E-3</v>
      </c>
      <c r="L118" s="12">
        <f t="shared" si="2"/>
        <v>2.4950000000000001</v>
      </c>
      <c r="M118" s="3">
        <f>SUMIFS(ledger!$E$2:$E$548, ledger!$C$2:$C$548, B118, ledger!$I$2:$I$548, G118)</f>
        <v>1998</v>
      </c>
      <c r="N118" s="3" t="str">
        <f t="shared" si="3"/>
        <v>Standard</v>
      </c>
    </row>
    <row r="119" spans="1:14" x14ac:dyDescent="0.3">
      <c r="A119" s="3" t="str">
        <f>ledger!A119</f>
        <v>TXN100117</v>
      </c>
      <c r="B119" s="3">
        <f>ledger!C119</f>
        <v>29</v>
      </c>
      <c r="C119" s="4" t="str">
        <f>IFERROR(VLOOKUP(B119, merchants!$A$2:$D$41, 2, FALSE), "Merchant not found")</f>
        <v>Merchant_029</v>
      </c>
      <c r="D119" s="3" t="str">
        <f>IFERROR(VLOOKUP(B119, merchants!$A$2:$D$41, 3, FALSE), "Merchant not found")</f>
        <v>ecommerce</v>
      </c>
      <c r="E119" s="3" t="str">
        <f>IFERROR(VLOOKUP(B119, merchants!$A$2:$D$41, 4, FALSE), "Merchant not found")</f>
        <v>North</v>
      </c>
      <c r="F119" s="4">
        <f>ledger!D119</f>
        <v>46031.713888888888</v>
      </c>
      <c r="G119" s="5">
        <f>ledger!I119</f>
        <v>46031</v>
      </c>
      <c r="H119" s="3">
        <f>ledger!E119</f>
        <v>499</v>
      </c>
      <c r="I119" s="3" t="str">
        <f>ledger!F119</f>
        <v>UPI</v>
      </c>
      <c r="J119" s="3" t="str">
        <f>ledger!G119</f>
        <v>captured</v>
      </c>
      <c r="K119" s="9">
        <f>HLOOKUP(I119,Fee!$B$1:$E$2,2,FALSE())</f>
        <v>5.0000000000000001E-3</v>
      </c>
      <c r="L119" s="12">
        <f t="shared" si="2"/>
        <v>2.4950000000000001</v>
      </c>
      <c r="M119" s="3">
        <f>SUMIFS(ledger!$E$2:$E$548, ledger!$C$2:$C$548, B119, ledger!$I$2:$I$548, G119)</f>
        <v>499</v>
      </c>
      <c r="N119" s="3" t="str">
        <f t="shared" si="3"/>
        <v>Standard</v>
      </c>
    </row>
    <row r="120" spans="1:14" x14ac:dyDescent="0.3">
      <c r="A120" s="3" t="str">
        <f>ledger!A120</f>
        <v>TXN100118</v>
      </c>
      <c r="B120" s="3">
        <f>ledger!C120</f>
        <v>39</v>
      </c>
      <c r="C120" s="4" t="str">
        <f>IFERROR(VLOOKUP(B120, merchants!$A$2:$D$41, 2, FALSE), "Merchant not found")</f>
        <v>Merchant_039</v>
      </c>
      <c r="D120" s="3" t="str">
        <f>IFERROR(VLOOKUP(B120, merchants!$A$2:$D$41, 3, FALSE), "Merchant not found")</f>
        <v>entertainment</v>
      </c>
      <c r="E120" s="3" t="str">
        <f>IFERROR(VLOOKUP(B120, merchants!$A$2:$D$41, 4, FALSE), "Merchant not found")</f>
        <v>North</v>
      </c>
      <c r="F120" s="4">
        <f>ledger!D120</f>
        <v>46038.125694444447</v>
      </c>
      <c r="G120" s="5">
        <f>ledger!I120</f>
        <v>46038</v>
      </c>
      <c r="H120" s="3">
        <f>ledger!E120</f>
        <v>499</v>
      </c>
      <c r="I120" s="3" t="str">
        <f>ledger!F120</f>
        <v>UPI</v>
      </c>
      <c r="J120" s="3" t="str">
        <f>ledger!G120</f>
        <v>captured</v>
      </c>
      <c r="K120" s="9">
        <f>HLOOKUP(I120,Fee!$B$1:$E$2,2,FALSE())</f>
        <v>5.0000000000000001E-3</v>
      </c>
      <c r="L120" s="12">
        <f t="shared" si="2"/>
        <v>2.4950000000000001</v>
      </c>
      <c r="M120" s="3">
        <f>SUMIFS(ledger!$E$2:$E$548, ledger!$C$2:$C$548, B120, ledger!$I$2:$I$548, G120)</f>
        <v>499</v>
      </c>
      <c r="N120" s="3" t="str">
        <f t="shared" si="3"/>
        <v>Standard</v>
      </c>
    </row>
    <row r="121" spans="1:14" x14ac:dyDescent="0.3">
      <c r="A121" s="3" t="str">
        <f>ledger!A121</f>
        <v>TXN100119</v>
      </c>
      <c r="B121" s="3">
        <f>ledger!C121</f>
        <v>1</v>
      </c>
      <c r="C121" s="4" t="str">
        <f>IFERROR(VLOOKUP(B121, merchants!$A$2:$D$41, 2, FALSE), "Merchant not found")</f>
        <v>Merchant_001</v>
      </c>
      <c r="D121" s="3" t="str">
        <f>IFERROR(VLOOKUP(B121, merchants!$A$2:$D$41, 3, FALSE), "Merchant not found")</f>
        <v>ecommerce</v>
      </c>
      <c r="E121" s="3" t="str">
        <f>IFERROR(VLOOKUP(B121, merchants!$A$2:$D$41, 4, FALSE), "Merchant not found")</f>
        <v>South</v>
      </c>
      <c r="F121" s="4">
        <f>ledger!D121</f>
        <v>46045.22152777778</v>
      </c>
      <c r="G121" s="5">
        <f>ledger!I121</f>
        <v>46045</v>
      </c>
      <c r="H121" s="3">
        <f>ledger!E121</f>
        <v>2999</v>
      </c>
      <c r="I121" s="3" t="str">
        <f>ledger!F121</f>
        <v>Wallet</v>
      </c>
      <c r="J121" s="3" t="str">
        <f>ledger!G121</f>
        <v>captured</v>
      </c>
      <c r="K121" s="9">
        <f>HLOOKUP(I121,Fee!$B$1:$E$2,2,FALSE())</f>
        <v>1.4999999999999999E-2</v>
      </c>
      <c r="L121" s="12">
        <f t="shared" si="2"/>
        <v>44.984999999999999</v>
      </c>
      <c r="M121" s="3">
        <f>SUMIFS(ledger!$E$2:$E$548, ledger!$C$2:$C$548, B121, ledger!$I$2:$I$548, G121)</f>
        <v>3148</v>
      </c>
      <c r="N121" s="3" t="str">
        <f t="shared" si="3"/>
        <v>Standard</v>
      </c>
    </row>
    <row r="122" spans="1:14" x14ac:dyDescent="0.3">
      <c r="A122" s="3" t="str">
        <f>ledger!A122</f>
        <v>TXN100120</v>
      </c>
      <c r="B122" s="3">
        <f>ledger!C122</f>
        <v>30</v>
      </c>
      <c r="C122" s="4" t="str">
        <f>IFERROR(VLOOKUP(B122, merchants!$A$2:$D$41, 2, FALSE), "Merchant not found")</f>
        <v>Merchant_030</v>
      </c>
      <c r="D122" s="3" t="str">
        <f>IFERROR(VLOOKUP(B122, merchants!$A$2:$D$41, 3, FALSE), "Merchant not found")</f>
        <v>travel</v>
      </c>
      <c r="E122" s="3" t="str">
        <f>IFERROR(VLOOKUP(B122, merchants!$A$2:$D$41, 4, FALSE), "Merchant not found")</f>
        <v>West</v>
      </c>
      <c r="F122" s="4">
        <f>ledger!D122</f>
        <v>46036.093055555553</v>
      </c>
      <c r="G122" s="5">
        <f>ledger!I122</f>
        <v>46036</v>
      </c>
      <c r="H122" s="3">
        <f>ledger!E122</f>
        <v>499</v>
      </c>
      <c r="I122" s="3" t="str">
        <f>ledger!F122</f>
        <v>UPI</v>
      </c>
      <c r="J122" s="3" t="str">
        <f>ledger!G122</f>
        <v>captured</v>
      </c>
      <c r="K122" s="9">
        <f>HLOOKUP(I122,Fee!$B$1:$E$2,2,FALSE())</f>
        <v>5.0000000000000001E-3</v>
      </c>
      <c r="L122" s="12">
        <f t="shared" si="2"/>
        <v>2.4950000000000001</v>
      </c>
      <c r="M122" s="3">
        <f>SUMIFS(ledger!$E$2:$E$548, ledger!$C$2:$C$548, B122, ledger!$I$2:$I$548, G122)</f>
        <v>2497</v>
      </c>
      <c r="N122" s="3" t="str">
        <f t="shared" si="3"/>
        <v>Standard</v>
      </c>
    </row>
    <row r="123" spans="1:14" x14ac:dyDescent="0.3">
      <c r="A123" s="3" t="str">
        <f>ledger!A123</f>
        <v>TXN100121</v>
      </c>
      <c r="B123" s="3">
        <f>ledger!C123</f>
        <v>33</v>
      </c>
      <c r="C123" s="4" t="str">
        <f>IFERROR(VLOOKUP(B123, merchants!$A$2:$D$41, 2, FALSE), "Merchant not found")</f>
        <v>Merchant_033</v>
      </c>
      <c r="D123" s="3" t="str">
        <f>IFERROR(VLOOKUP(B123, merchants!$A$2:$D$41, 3, FALSE), "Merchant not found")</f>
        <v>bill_payment</v>
      </c>
      <c r="E123" s="3" t="str">
        <f>IFERROR(VLOOKUP(B123, merchants!$A$2:$D$41, 4, FALSE), "Merchant not found")</f>
        <v>East</v>
      </c>
      <c r="F123" s="4">
        <f>ledger!D123</f>
        <v>46043.188194444447</v>
      </c>
      <c r="G123" s="5">
        <f>ledger!I123</f>
        <v>46043</v>
      </c>
      <c r="H123" s="3">
        <f>ledger!E123</f>
        <v>2999</v>
      </c>
      <c r="I123" s="3" t="str">
        <f>ledger!F123</f>
        <v>UPI</v>
      </c>
      <c r="J123" s="3" t="str">
        <f>ledger!G123</f>
        <v>captured</v>
      </c>
      <c r="K123" s="9">
        <f>HLOOKUP(I123,Fee!$B$1:$E$2,2,FALSE())</f>
        <v>5.0000000000000001E-3</v>
      </c>
      <c r="L123" s="12">
        <f t="shared" si="2"/>
        <v>14.995000000000001</v>
      </c>
      <c r="M123" s="3">
        <f>SUMIFS(ledger!$E$2:$E$548, ledger!$C$2:$C$548, B123, ledger!$I$2:$I$548, G123)</f>
        <v>3298</v>
      </c>
      <c r="N123" s="3" t="str">
        <f t="shared" si="3"/>
        <v>Standard</v>
      </c>
    </row>
    <row r="124" spans="1:14" x14ac:dyDescent="0.3">
      <c r="A124" s="3" t="str">
        <f>ledger!A124</f>
        <v>TXN100122</v>
      </c>
      <c r="B124" s="3">
        <f>ledger!C124</f>
        <v>31</v>
      </c>
      <c r="C124" s="4" t="str">
        <f>IFERROR(VLOOKUP(B124, merchants!$A$2:$D$41, 2, FALSE), "Merchant not found")</f>
        <v>Merchant_031</v>
      </c>
      <c r="D124" s="3" t="str">
        <f>IFERROR(VLOOKUP(B124, merchants!$A$2:$D$41, 3, FALSE), "Merchant not found")</f>
        <v>bill_payment</v>
      </c>
      <c r="E124" s="3" t="str">
        <f>IFERROR(VLOOKUP(B124, merchants!$A$2:$D$41, 4, FALSE), "Merchant not found")</f>
        <v>East</v>
      </c>
      <c r="F124" s="4">
        <f>ledger!D124</f>
        <v>46031.578472222223</v>
      </c>
      <c r="G124" s="5">
        <f>ledger!I124</f>
        <v>46031</v>
      </c>
      <c r="H124" s="3">
        <f>ledger!E124</f>
        <v>1499</v>
      </c>
      <c r="I124" s="3" t="str">
        <f>ledger!F124</f>
        <v>UPI</v>
      </c>
      <c r="J124" s="3" t="str">
        <f>ledger!G124</f>
        <v>failed</v>
      </c>
      <c r="K124" s="9">
        <f>HLOOKUP(I124,Fee!$B$1:$E$2,2,FALSE())</f>
        <v>5.0000000000000001E-3</v>
      </c>
      <c r="L124" s="12">
        <f t="shared" si="2"/>
        <v>7.4950000000000001</v>
      </c>
      <c r="M124" s="3">
        <f>SUMIFS(ledger!$E$2:$E$548, ledger!$C$2:$C$548, B124, ledger!$I$2:$I$548, G124)</f>
        <v>1499</v>
      </c>
      <c r="N124" s="3" t="str">
        <f t="shared" si="3"/>
        <v>Standard</v>
      </c>
    </row>
    <row r="125" spans="1:14" x14ac:dyDescent="0.3">
      <c r="A125" s="3" t="str">
        <f>ledger!A125</f>
        <v>TXN100123</v>
      </c>
      <c r="B125" s="3">
        <f>ledger!C125</f>
        <v>13</v>
      </c>
      <c r="C125" s="4" t="str">
        <f>IFERROR(VLOOKUP(B125, merchants!$A$2:$D$41, 2, FALSE), "Merchant not found")</f>
        <v>Merchant_013</v>
      </c>
      <c r="D125" s="3" t="str">
        <f>IFERROR(VLOOKUP(B125, merchants!$A$2:$D$41, 3, FALSE), "Merchant not found")</f>
        <v>travel</v>
      </c>
      <c r="E125" s="3" t="str">
        <f>IFERROR(VLOOKUP(B125, merchants!$A$2:$D$41, 4, FALSE), "Merchant not found")</f>
        <v>East</v>
      </c>
      <c r="F125" s="4">
        <f>ledger!D125</f>
        <v>46037.714583333334</v>
      </c>
      <c r="G125" s="5">
        <f>ledger!I125</f>
        <v>46037</v>
      </c>
      <c r="H125" s="3">
        <f>ledger!E125</f>
        <v>49</v>
      </c>
      <c r="I125" s="3" t="str">
        <f>ledger!F125</f>
        <v>UPI</v>
      </c>
      <c r="J125" s="3" t="str">
        <f>ledger!G125</f>
        <v>captured</v>
      </c>
      <c r="K125" s="9">
        <f>HLOOKUP(I125,Fee!$B$1:$E$2,2,FALSE())</f>
        <v>5.0000000000000001E-3</v>
      </c>
      <c r="L125" s="12">
        <f t="shared" si="2"/>
        <v>0.245</v>
      </c>
      <c r="M125" s="3">
        <f>SUMIFS(ledger!$E$2:$E$548, ledger!$C$2:$C$548, B125, ledger!$I$2:$I$548, G125)</f>
        <v>49</v>
      </c>
      <c r="N125" s="3" t="str">
        <f t="shared" si="3"/>
        <v>Standard</v>
      </c>
    </row>
    <row r="126" spans="1:14" x14ac:dyDescent="0.3">
      <c r="A126" s="3" t="str">
        <f>ledger!A126</f>
        <v>TXN100124</v>
      </c>
      <c r="B126" s="3">
        <f>ledger!C126</f>
        <v>5</v>
      </c>
      <c r="C126" s="4" t="str">
        <f>IFERROR(VLOOKUP(B126, merchants!$A$2:$D$41, 2, FALSE), "Merchant not found")</f>
        <v>Merchant_005</v>
      </c>
      <c r="D126" s="3" t="str">
        <f>IFERROR(VLOOKUP(B126, merchants!$A$2:$D$41, 3, FALSE), "Merchant not found")</f>
        <v>recharge</v>
      </c>
      <c r="E126" s="3" t="str">
        <f>IFERROR(VLOOKUP(B126, merchants!$A$2:$D$41, 4, FALSE), "Merchant not found")</f>
        <v>South</v>
      </c>
      <c r="F126" s="4">
        <f>ledger!D126</f>
        <v>46039.99722222222</v>
      </c>
      <c r="G126" s="5">
        <f>ledger!I126</f>
        <v>46039</v>
      </c>
      <c r="H126" s="3">
        <f>ledger!E126</f>
        <v>499</v>
      </c>
      <c r="I126" s="3" t="str">
        <f>ledger!F126</f>
        <v>UPI</v>
      </c>
      <c r="J126" s="3" t="str">
        <f>ledger!G126</f>
        <v>captured</v>
      </c>
      <c r="K126" s="9">
        <f>HLOOKUP(I126,Fee!$B$1:$E$2,2,FALSE())</f>
        <v>5.0000000000000001E-3</v>
      </c>
      <c r="L126" s="12">
        <f t="shared" si="2"/>
        <v>2.4950000000000001</v>
      </c>
      <c r="M126" s="3">
        <f>SUMIFS(ledger!$E$2:$E$548, ledger!$C$2:$C$548, B126, ledger!$I$2:$I$548, G126)</f>
        <v>499</v>
      </c>
      <c r="N126" s="3" t="str">
        <f t="shared" si="3"/>
        <v>Standard</v>
      </c>
    </row>
    <row r="127" spans="1:14" x14ac:dyDescent="0.3">
      <c r="A127" s="3" t="str">
        <f>ledger!A127</f>
        <v>TXN100125</v>
      </c>
      <c r="B127" s="3">
        <f>ledger!C127</f>
        <v>18</v>
      </c>
      <c r="C127" s="4" t="str">
        <f>IFERROR(VLOOKUP(B127, merchants!$A$2:$D$41, 2, FALSE), "Merchant not found")</f>
        <v>Merchant_018</v>
      </c>
      <c r="D127" s="3" t="str">
        <f>IFERROR(VLOOKUP(B127, merchants!$A$2:$D$41, 3, FALSE), "Merchant not found")</f>
        <v>grocery</v>
      </c>
      <c r="E127" s="3" t="str">
        <f>IFERROR(VLOOKUP(B127, merchants!$A$2:$D$41, 4, FALSE), "Merchant not found")</f>
        <v>West</v>
      </c>
      <c r="F127" s="4">
        <f>ledger!D127</f>
        <v>46047.556250000001</v>
      </c>
      <c r="G127" s="5">
        <f>ledger!I127</f>
        <v>46047</v>
      </c>
      <c r="H127" s="3">
        <f>ledger!E127</f>
        <v>1499</v>
      </c>
      <c r="I127" s="3" t="str">
        <f>ledger!F127</f>
        <v>UPI</v>
      </c>
      <c r="J127" s="3" t="str">
        <f>ledger!G127</f>
        <v>captured</v>
      </c>
      <c r="K127" s="9">
        <f>HLOOKUP(I127,Fee!$B$1:$E$2,2,FALSE())</f>
        <v>5.0000000000000001E-3</v>
      </c>
      <c r="L127" s="12">
        <f t="shared" si="2"/>
        <v>7.4950000000000001</v>
      </c>
      <c r="M127" s="3">
        <f>SUMIFS(ledger!$E$2:$E$548, ledger!$C$2:$C$548, B127, ledger!$I$2:$I$548, G127)</f>
        <v>1648</v>
      </c>
      <c r="N127" s="3" t="str">
        <f t="shared" si="3"/>
        <v>Standard</v>
      </c>
    </row>
    <row r="128" spans="1:14" x14ac:dyDescent="0.3">
      <c r="A128" s="3" t="str">
        <f>ledger!A128</f>
        <v>TXN100126</v>
      </c>
      <c r="B128" s="3">
        <f>ledger!C128</f>
        <v>38</v>
      </c>
      <c r="C128" s="4" t="str">
        <f>IFERROR(VLOOKUP(B128, merchants!$A$2:$D$41, 2, FALSE), "Merchant not found")</f>
        <v>Merchant_038</v>
      </c>
      <c r="D128" s="3" t="str">
        <f>IFERROR(VLOOKUP(B128, merchants!$A$2:$D$41, 3, FALSE), "Merchant not found")</f>
        <v>grocery</v>
      </c>
      <c r="E128" s="3" t="str">
        <f>IFERROR(VLOOKUP(B128, merchants!$A$2:$D$41, 4, FALSE), "Merchant not found")</f>
        <v>East</v>
      </c>
      <c r="F128" s="4">
        <f>ledger!D128</f>
        <v>46032.97152777778</v>
      </c>
      <c r="G128" s="5">
        <f>ledger!I128</f>
        <v>46032</v>
      </c>
      <c r="H128" s="3">
        <f>ledger!E128</f>
        <v>99</v>
      </c>
      <c r="I128" s="3" t="str">
        <f>ledger!F128</f>
        <v>UPI</v>
      </c>
      <c r="J128" s="3" t="str">
        <f>ledger!G128</f>
        <v>captured</v>
      </c>
      <c r="K128" s="9">
        <f>HLOOKUP(I128,Fee!$B$1:$E$2,2,FALSE())</f>
        <v>5.0000000000000001E-3</v>
      </c>
      <c r="L128" s="12">
        <f t="shared" si="2"/>
        <v>0.495</v>
      </c>
      <c r="M128" s="3">
        <f>SUMIFS(ledger!$E$2:$E$548, ledger!$C$2:$C$548, B128, ledger!$I$2:$I$548, G128)</f>
        <v>398</v>
      </c>
      <c r="N128" s="3" t="str">
        <f t="shared" si="3"/>
        <v>Standard</v>
      </c>
    </row>
    <row r="129" spans="1:14" x14ac:dyDescent="0.3">
      <c r="A129" s="3" t="str">
        <f>ledger!A129</f>
        <v>TXN100127</v>
      </c>
      <c r="B129" s="3">
        <f>ledger!C129</f>
        <v>31</v>
      </c>
      <c r="C129" s="4" t="str">
        <f>IFERROR(VLOOKUP(B129, merchants!$A$2:$D$41, 2, FALSE), "Merchant not found")</f>
        <v>Merchant_031</v>
      </c>
      <c r="D129" s="3" t="str">
        <f>IFERROR(VLOOKUP(B129, merchants!$A$2:$D$41, 3, FALSE), "Merchant not found")</f>
        <v>bill_payment</v>
      </c>
      <c r="E129" s="3" t="str">
        <f>IFERROR(VLOOKUP(B129, merchants!$A$2:$D$41, 4, FALSE), "Merchant not found")</f>
        <v>East</v>
      </c>
      <c r="F129" s="4">
        <f>ledger!D129</f>
        <v>46038.186111111114</v>
      </c>
      <c r="G129" s="5">
        <f>ledger!I129</f>
        <v>46038</v>
      </c>
      <c r="H129" s="3">
        <f>ledger!E129</f>
        <v>499</v>
      </c>
      <c r="I129" s="3" t="str">
        <f>ledger!F129</f>
        <v>Card</v>
      </c>
      <c r="J129" s="3" t="str">
        <f>ledger!G129</f>
        <v>captured</v>
      </c>
      <c r="K129" s="9">
        <f>HLOOKUP(I129,Fee!$B$1:$E$2,2,FALSE())</f>
        <v>0.02</v>
      </c>
      <c r="L129" s="12">
        <f t="shared" si="2"/>
        <v>9.98</v>
      </c>
      <c r="M129" s="3">
        <f>SUMIFS(ledger!$E$2:$E$548, ledger!$C$2:$C$548, B129, ledger!$I$2:$I$548, G129)</f>
        <v>499</v>
      </c>
      <c r="N129" s="3" t="str">
        <f t="shared" si="3"/>
        <v>Standard</v>
      </c>
    </row>
    <row r="130" spans="1:14" x14ac:dyDescent="0.3">
      <c r="A130" s="3" t="str">
        <f>ledger!A130</f>
        <v>TXN100128</v>
      </c>
      <c r="B130" s="3">
        <f>ledger!C130</f>
        <v>25</v>
      </c>
      <c r="C130" s="4" t="str">
        <f>IFERROR(VLOOKUP(B130, merchants!$A$2:$D$41, 2, FALSE), "Merchant not found")</f>
        <v>Merchant_025</v>
      </c>
      <c r="D130" s="3" t="str">
        <f>IFERROR(VLOOKUP(B130, merchants!$A$2:$D$41, 3, FALSE), "Merchant not found")</f>
        <v>travel</v>
      </c>
      <c r="E130" s="3" t="str">
        <f>IFERROR(VLOOKUP(B130, merchants!$A$2:$D$41, 4, FALSE), "Merchant not found")</f>
        <v>South</v>
      </c>
      <c r="F130" s="4">
        <f>ledger!D130</f>
        <v>46033.741666666669</v>
      </c>
      <c r="G130" s="5">
        <f>ledger!I130</f>
        <v>46033</v>
      </c>
      <c r="H130" s="3">
        <f>ledger!E130</f>
        <v>799</v>
      </c>
      <c r="I130" s="3" t="str">
        <f>ledger!F130</f>
        <v>UPI</v>
      </c>
      <c r="J130" s="3" t="str">
        <f>ledger!G130</f>
        <v>captured</v>
      </c>
      <c r="K130" s="9">
        <f>HLOOKUP(I130,Fee!$B$1:$E$2,2,FALSE())</f>
        <v>5.0000000000000001E-3</v>
      </c>
      <c r="L130" s="12">
        <f t="shared" si="2"/>
        <v>3.9950000000000001</v>
      </c>
      <c r="M130" s="3">
        <f>SUMIFS(ledger!$E$2:$E$548, ledger!$C$2:$C$548, B130, ledger!$I$2:$I$548, G130)</f>
        <v>799</v>
      </c>
      <c r="N130" s="3" t="str">
        <f t="shared" si="3"/>
        <v>Standard</v>
      </c>
    </row>
    <row r="131" spans="1:14" x14ac:dyDescent="0.3">
      <c r="A131" s="3" t="str">
        <f>ledger!A131</f>
        <v>TXN100129</v>
      </c>
      <c r="B131" s="3">
        <f>ledger!C131</f>
        <v>16</v>
      </c>
      <c r="C131" s="4" t="str">
        <f>IFERROR(VLOOKUP(B131, merchants!$A$2:$D$41, 2, FALSE), "Merchant not found")</f>
        <v>Merchant_016</v>
      </c>
      <c r="D131" s="3" t="str">
        <f>IFERROR(VLOOKUP(B131, merchants!$A$2:$D$41, 3, FALSE), "Merchant not found")</f>
        <v>bill_payment</v>
      </c>
      <c r="E131" s="3" t="str">
        <f>IFERROR(VLOOKUP(B131, merchants!$A$2:$D$41, 4, FALSE), "Merchant not found")</f>
        <v>West</v>
      </c>
      <c r="F131" s="4">
        <f>ledger!D131</f>
        <v>46052.454861111109</v>
      </c>
      <c r="G131" s="5">
        <f>ledger!I131</f>
        <v>46052</v>
      </c>
      <c r="H131" s="3">
        <f>ledger!E131</f>
        <v>799</v>
      </c>
      <c r="I131" s="3" t="str">
        <f>ledger!F131</f>
        <v>Card</v>
      </c>
      <c r="J131" s="3" t="str">
        <f>ledger!G131</f>
        <v>captured</v>
      </c>
      <c r="K131" s="9">
        <f>HLOOKUP(I131,Fee!$B$1:$E$2,2,FALSE())</f>
        <v>0.02</v>
      </c>
      <c r="L131" s="12">
        <f t="shared" ref="L131:L194" si="4">H131*K131</f>
        <v>15.98</v>
      </c>
      <c r="M131" s="3">
        <f>SUMIFS(ledger!$E$2:$E$548, ledger!$C$2:$C$548, B131, ledger!$I$2:$I$548, G131)</f>
        <v>898</v>
      </c>
      <c r="N131" s="3" t="str">
        <f t="shared" ref="N131:N194" si="5">IF(AND(M131&gt;5000,E131&lt;&gt;"East"),"High Value","Standard")</f>
        <v>Standard</v>
      </c>
    </row>
    <row r="132" spans="1:14" x14ac:dyDescent="0.3">
      <c r="A132" s="3" t="str">
        <f>ledger!A132</f>
        <v>TXN100130</v>
      </c>
      <c r="B132" s="3">
        <f>ledger!C132</f>
        <v>3</v>
      </c>
      <c r="C132" s="4" t="str">
        <f>IFERROR(VLOOKUP(B132, merchants!$A$2:$D$41, 2, FALSE), "Merchant not found")</f>
        <v>Merchant_003</v>
      </c>
      <c r="D132" s="3" t="str">
        <f>IFERROR(VLOOKUP(B132, merchants!$A$2:$D$41, 3, FALSE), "Merchant not found")</f>
        <v>grocery</v>
      </c>
      <c r="E132" s="3" t="str">
        <f>IFERROR(VLOOKUP(B132, merchants!$A$2:$D$41, 4, FALSE), "Merchant not found")</f>
        <v>East</v>
      </c>
      <c r="F132" s="4">
        <f>ledger!D132</f>
        <v>46035.32916666667</v>
      </c>
      <c r="G132" s="5">
        <f>ledger!I132</f>
        <v>46035</v>
      </c>
      <c r="H132" s="3">
        <f>ledger!E132</f>
        <v>149</v>
      </c>
      <c r="I132" s="3" t="str">
        <f>ledger!F132</f>
        <v>UPI</v>
      </c>
      <c r="J132" s="3" t="str">
        <f>ledger!G132</f>
        <v>chargeback</v>
      </c>
      <c r="K132" s="9">
        <f>HLOOKUP(I132,Fee!$B$1:$E$2,2,FALSE())</f>
        <v>5.0000000000000001E-3</v>
      </c>
      <c r="L132" s="12">
        <f t="shared" si="4"/>
        <v>0.745</v>
      </c>
      <c r="M132" s="3">
        <f>SUMIFS(ledger!$E$2:$E$548, ledger!$C$2:$C$548, B132, ledger!$I$2:$I$548, G132)</f>
        <v>198</v>
      </c>
      <c r="N132" s="3" t="str">
        <f t="shared" si="5"/>
        <v>Standard</v>
      </c>
    </row>
    <row r="133" spans="1:14" x14ac:dyDescent="0.3">
      <c r="A133" s="3" t="str">
        <f>ledger!A133</f>
        <v>TXN100131</v>
      </c>
      <c r="B133" s="3">
        <f>ledger!C133</f>
        <v>25</v>
      </c>
      <c r="C133" s="4" t="str">
        <f>IFERROR(VLOOKUP(B133, merchants!$A$2:$D$41, 2, FALSE), "Merchant not found")</f>
        <v>Merchant_025</v>
      </c>
      <c r="D133" s="3" t="str">
        <f>IFERROR(VLOOKUP(B133, merchants!$A$2:$D$41, 3, FALSE), "Merchant not found")</f>
        <v>travel</v>
      </c>
      <c r="E133" s="3" t="str">
        <f>IFERROR(VLOOKUP(B133, merchants!$A$2:$D$41, 4, FALSE), "Merchant not found")</f>
        <v>South</v>
      </c>
      <c r="F133" s="4">
        <f>ledger!D133</f>
        <v>46046.65625</v>
      </c>
      <c r="G133" s="5">
        <f>ledger!I133</f>
        <v>46046</v>
      </c>
      <c r="H133" s="3">
        <f>ledger!E133</f>
        <v>149</v>
      </c>
      <c r="I133" s="3" t="str">
        <f>ledger!F133</f>
        <v>Netbanking</v>
      </c>
      <c r="J133" s="3" t="str">
        <f>ledger!G133</f>
        <v>captured</v>
      </c>
      <c r="K133" s="9">
        <f>HLOOKUP(I133,Fee!$B$1:$E$2,2,FALSE())</f>
        <v>1.7999999999999999E-2</v>
      </c>
      <c r="L133" s="12">
        <f t="shared" si="4"/>
        <v>2.6819999999999999</v>
      </c>
      <c r="M133" s="3">
        <f>SUMIFS(ledger!$E$2:$E$548, ledger!$C$2:$C$548, B133, ledger!$I$2:$I$548, G133)</f>
        <v>497</v>
      </c>
      <c r="N133" s="3" t="str">
        <f t="shared" si="5"/>
        <v>Standard</v>
      </c>
    </row>
    <row r="134" spans="1:14" x14ac:dyDescent="0.3">
      <c r="A134" s="3" t="str">
        <f>ledger!A134</f>
        <v>TXN100132</v>
      </c>
      <c r="B134" s="3">
        <f>ledger!C134</f>
        <v>3</v>
      </c>
      <c r="C134" s="4" t="str">
        <f>IFERROR(VLOOKUP(B134, merchants!$A$2:$D$41, 2, FALSE), "Merchant not found")</f>
        <v>Merchant_003</v>
      </c>
      <c r="D134" s="3" t="str">
        <f>IFERROR(VLOOKUP(B134, merchants!$A$2:$D$41, 3, FALSE), "Merchant not found")</f>
        <v>grocery</v>
      </c>
      <c r="E134" s="3" t="str">
        <f>IFERROR(VLOOKUP(B134, merchants!$A$2:$D$41, 4, FALSE), "Merchant not found")</f>
        <v>East</v>
      </c>
      <c r="F134" s="4">
        <f>ledger!D134</f>
        <v>46048.839583333334</v>
      </c>
      <c r="G134" s="5">
        <f>ledger!I134</f>
        <v>46048</v>
      </c>
      <c r="H134" s="3">
        <f>ledger!E134</f>
        <v>149</v>
      </c>
      <c r="I134" s="3" t="str">
        <f>ledger!F134</f>
        <v>Card</v>
      </c>
      <c r="J134" s="3" t="str">
        <f>ledger!G134</f>
        <v>captured</v>
      </c>
      <c r="K134" s="9">
        <f>HLOOKUP(I134,Fee!$B$1:$E$2,2,FALSE())</f>
        <v>0.02</v>
      </c>
      <c r="L134" s="12">
        <f t="shared" si="4"/>
        <v>2.98</v>
      </c>
      <c r="M134" s="3">
        <f>SUMIFS(ledger!$E$2:$E$548, ledger!$C$2:$C$548, B134, ledger!$I$2:$I$548, G134)</f>
        <v>149</v>
      </c>
      <c r="N134" s="3" t="str">
        <f t="shared" si="5"/>
        <v>Standard</v>
      </c>
    </row>
    <row r="135" spans="1:14" x14ac:dyDescent="0.3">
      <c r="A135" s="3" t="str">
        <f>ledger!A135</f>
        <v>TXN100133</v>
      </c>
      <c r="B135" s="3">
        <f>ledger!C135</f>
        <v>29</v>
      </c>
      <c r="C135" s="4" t="str">
        <f>IFERROR(VLOOKUP(B135, merchants!$A$2:$D$41, 2, FALSE), "Merchant not found")</f>
        <v>Merchant_029</v>
      </c>
      <c r="D135" s="3" t="str">
        <f>IFERROR(VLOOKUP(B135, merchants!$A$2:$D$41, 3, FALSE), "Merchant not found")</f>
        <v>ecommerce</v>
      </c>
      <c r="E135" s="3" t="str">
        <f>IFERROR(VLOOKUP(B135, merchants!$A$2:$D$41, 4, FALSE), "Merchant not found")</f>
        <v>North</v>
      </c>
      <c r="F135" s="4">
        <f>ledger!D135</f>
        <v>46039.76458333333</v>
      </c>
      <c r="G135" s="5">
        <f>ledger!I135</f>
        <v>46039</v>
      </c>
      <c r="H135" s="3">
        <f>ledger!E135</f>
        <v>49</v>
      </c>
      <c r="I135" s="3" t="str">
        <f>ledger!F135</f>
        <v>Netbanking</v>
      </c>
      <c r="J135" s="3" t="str">
        <f>ledger!G135</f>
        <v>captured</v>
      </c>
      <c r="K135" s="9">
        <f>HLOOKUP(I135,Fee!$B$1:$E$2,2,FALSE())</f>
        <v>1.7999999999999999E-2</v>
      </c>
      <c r="L135" s="12">
        <f t="shared" si="4"/>
        <v>0.8819999999999999</v>
      </c>
      <c r="M135" s="3">
        <f>SUMIFS(ledger!$E$2:$E$548, ledger!$C$2:$C$548, B135, ledger!$I$2:$I$548, G135)</f>
        <v>49</v>
      </c>
      <c r="N135" s="3" t="str">
        <f t="shared" si="5"/>
        <v>Standard</v>
      </c>
    </row>
    <row r="136" spans="1:14" x14ac:dyDescent="0.3">
      <c r="A136" s="3" t="str">
        <f>ledger!A136</f>
        <v>TXN100134</v>
      </c>
      <c r="B136" s="3">
        <f>ledger!C136</f>
        <v>27</v>
      </c>
      <c r="C136" s="4" t="str">
        <f>IFERROR(VLOOKUP(B136, merchants!$A$2:$D$41, 2, FALSE), "Merchant not found")</f>
        <v>Merchant_027</v>
      </c>
      <c r="D136" s="3" t="str">
        <f>IFERROR(VLOOKUP(B136, merchants!$A$2:$D$41, 3, FALSE), "Merchant not found")</f>
        <v>ecommerce</v>
      </c>
      <c r="E136" s="3" t="str">
        <f>IFERROR(VLOOKUP(B136, merchants!$A$2:$D$41, 4, FALSE), "Merchant not found")</f>
        <v>North</v>
      </c>
      <c r="F136" s="4">
        <f>ledger!D136</f>
        <v>46039.583333333336</v>
      </c>
      <c r="G136" s="5">
        <f>ledger!I136</f>
        <v>46039</v>
      </c>
      <c r="H136" s="3">
        <f>ledger!E136</f>
        <v>799</v>
      </c>
      <c r="I136" s="3" t="str">
        <f>ledger!F136</f>
        <v>UPI</v>
      </c>
      <c r="J136" s="3" t="str">
        <f>ledger!G136</f>
        <v>captured</v>
      </c>
      <c r="K136" s="9">
        <f>HLOOKUP(I136,Fee!$B$1:$E$2,2,FALSE())</f>
        <v>5.0000000000000001E-3</v>
      </c>
      <c r="L136" s="12">
        <f t="shared" si="4"/>
        <v>3.9950000000000001</v>
      </c>
      <c r="M136" s="3">
        <f>SUMIFS(ledger!$E$2:$E$548, ledger!$C$2:$C$548, B136, ledger!$I$2:$I$548, G136)</f>
        <v>1597</v>
      </c>
      <c r="N136" s="3" t="str">
        <f t="shared" si="5"/>
        <v>Standard</v>
      </c>
    </row>
    <row r="137" spans="1:14" x14ac:dyDescent="0.3">
      <c r="A137" s="3" t="str">
        <f>ledger!A137</f>
        <v>TXN100135</v>
      </c>
      <c r="B137" s="3">
        <f>ledger!C137</f>
        <v>22</v>
      </c>
      <c r="C137" s="4" t="str">
        <f>IFERROR(VLOOKUP(B137, merchants!$A$2:$D$41, 2, FALSE), "Merchant not found")</f>
        <v>Merchant_022</v>
      </c>
      <c r="D137" s="3" t="str">
        <f>IFERROR(VLOOKUP(B137, merchants!$A$2:$D$41, 3, FALSE), "Merchant not found")</f>
        <v>travel</v>
      </c>
      <c r="E137" s="3" t="str">
        <f>IFERROR(VLOOKUP(B137, merchants!$A$2:$D$41, 4, FALSE), "Merchant not found")</f>
        <v>South</v>
      </c>
      <c r="F137" s="4">
        <f>ledger!D137</f>
        <v>46027.104166666664</v>
      </c>
      <c r="G137" s="5">
        <f>ledger!I137</f>
        <v>46027</v>
      </c>
      <c r="H137" s="3">
        <f>ledger!E137</f>
        <v>149</v>
      </c>
      <c r="I137" s="3" t="str">
        <f>ledger!F137</f>
        <v>UPI</v>
      </c>
      <c r="J137" s="3" t="str">
        <f>ledger!G137</f>
        <v>captured</v>
      </c>
      <c r="K137" s="9">
        <f>HLOOKUP(I137,Fee!$B$1:$E$2,2,FALSE())</f>
        <v>5.0000000000000001E-3</v>
      </c>
      <c r="L137" s="12">
        <f t="shared" si="4"/>
        <v>0.745</v>
      </c>
      <c r="M137" s="3">
        <f>SUMIFS(ledger!$E$2:$E$548, ledger!$C$2:$C$548, B137, ledger!$I$2:$I$548, G137)</f>
        <v>448</v>
      </c>
      <c r="N137" s="3" t="str">
        <f t="shared" si="5"/>
        <v>Standard</v>
      </c>
    </row>
    <row r="138" spans="1:14" x14ac:dyDescent="0.3">
      <c r="A138" s="3" t="str">
        <f>ledger!A138</f>
        <v>TXN100136</v>
      </c>
      <c r="B138" s="3">
        <f>ledger!C138</f>
        <v>22</v>
      </c>
      <c r="C138" s="4" t="str">
        <f>IFERROR(VLOOKUP(B138, merchants!$A$2:$D$41, 2, FALSE), "Merchant not found")</f>
        <v>Merchant_022</v>
      </c>
      <c r="D138" s="3" t="str">
        <f>IFERROR(VLOOKUP(B138, merchants!$A$2:$D$41, 3, FALSE), "Merchant not found")</f>
        <v>travel</v>
      </c>
      <c r="E138" s="3" t="str">
        <f>IFERROR(VLOOKUP(B138, merchants!$A$2:$D$41, 4, FALSE), "Merchant not found")</f>
        <v>South</v>
      </c>
      <c r="F138" s="4">
        <f>ledger!D138</f>
        <v>46045.52847222222</v>
      </c>
      <c r="G138" s="5">
        <f>ledger!I138</f>
        <v>46045</v>
      </c>
      <c r="H138" s="3">
        <f>ledger!E138</f>
        <v>49</v>
      </c>
      <c r="I138" s="3" t="str">
        <f>ledger!F138</f>
        <v>UPI</v>
      </c>
      <c r="J138" s="3" t="str">
        <f>ledger!G138</f>
        <v>captured</v>
      </c>
      <c r="K138" s="9">
        <f>HLOOKUP(I138,Fee!$B$1:$E$2,2,FALSE())</f>
        <v>5.0000000000000001E-3</v>
      </c>
      <c r="L138" s="12">
        <f t="shared" si="4"/>
        <v>0.245</v>
      </c>
      <c r="M138" s="3">
        <f>SUMIFS(ledger!$E$2:$E$548, ledger!$C$2:$C$548, B138, ledger!$I$2:$I$548, G138)</f>
        <v>49</v>
      </c>
      <c r="N138" s="3" t="str">
        <f t="shared" si="5"/>
        <v>Standard</v>
      </c>
    </row>
    <row r="139" spans="1:14" x14ac:dyDescent="0.3">
      <c r="A139" s="3" t="str">
        <f>ledger!A139</f>
        <v>TXN100137</v>
      </c>
      <c r="B139" s="3">
        <f>ledger!C139</f>
        <v>32</v>
      </c>
      <c r="C139" s="4" t="str">
        <f>IFERROR(VLOOKUP(B139, merchants!$A$2:$D$41, 2, FALSE), "Merchant not found")</f>
        <v>Merchant_032</v>
      </c>
      <c r="D139" s="3" t="str">
        <f>IFERROR(VLOOKUP(B139, merchants!$A$2:$D$41, 3, FALSE), "Merchant not found")</f>
        <v>food_delivery</v>
      </c>
      <c r="E139" s="3" t="str">
        <f>IFERROR(VLOOKUP(B139, merchants!$A$2:$D$41, 4, FALSE), "Merchant not found")</f>
        <v>West</v>
      </c>
      <c r="F139" s="4">
        <f>ledger!D139</f>
        <v>46050.724999999999</v>
      </c>
      <c r="G139" s="5">
        <f>ledger!I139</f>
        <v>46050</v>
      </c>
      <c r="H139" s="3">
        <f>ledger!E139</f>
        <v>2999</v>
      </c>
      <c r="I139" s="3" t="str">
        <f>ledger!F139</f>
        <v>Wallet</v>
      </c>
      <c r="J139" s="3" t="str">
        <f>ledger!G139</f>
        <v>failed</v>
      </c>
      <c r="K139" s="9">
        <f>HLOOKUP(I139,Fee!$B$1:$E$2,2,FALSE())</f>
        <v>1.4999999999999999E-2</v>
      </c>
      <c r="L139" s="12">
        <f t="shared" si="4"/>
        <v>44.984999999999999</v>
      </c>
      <c r="M139" s="3">
        <f>SUMIFS(ledger!$E$2:$E$548, ledger!$C$2:$C$548, B139, ledger!$I$2:$I$548, G139)</f>
        <v>2999</v>
      </c>
      <c r="N139" s="3" t="str">
        <f t="shared" si="5"/>
        <v>Standard</v>
      </c>
    </row>
    <row r="140" spans="1:14" x14ac:dyDescent="0.3">
      <c r="A140" s="3" t="str">
        <f>ledger!A140</f>
        <v>TXN100138</v>
      </c>
      <c r="B140" s="3">
        <f>ledger!C140</f>
        <v>19</v>
      </c>
      <c r="C140" s="4" t="str">
        <f>IFERROR(VLOOKUP(B140, merchants!$A$2:$D$41, 2, FALSE), "Merchant not found")</f>
        <v>Merchant_019</v>
      </c>
      <c r="D140" s="3" t="str">
        <f>IFERROR(VLOOKUP(B140, merchants!$A$2:$D$41, 3, FALSE), "Merchant not found")</f>
        <v>grocery</v>
      </c>
      <c r="E140" s="3" t="str">
        <f>IFERROR(VLOOKUP(B140, merchants!$A$2:$D$41, 4, FALSE), "Merchant not found")</f>
        <v>North</v>
      </c>
      <c r="F140" s="4">
        <f>ledger!D140</f>
        <v>46024.794444444444</v>
      </c>
      <c r="G140" s="5">
        <f>ledger!I140</f>
        <v>46024</v>
      </c>
      <c r="H140" s="3">
        <f>ledger!E140</f>
        <v>149</v>
      </c>
      <c r="I140" s="3" t="str">
        <f>ledger!F140</f>
        <v>UPI</v>
      </c>
      <c r="J140" s="3" t="str">
        <f>ledger!G140</f>
        <v>captured</v>
      </c>
      <c r="K140" s="9">
        <f>HLOOKUP(I140,Fee!$B$1:$E$2,2,FALSE())</f>
        <v>5.0000000000000001E-3</v>
      </c>
      <c r="L140" s="12">
        <f t="shared" si="4"/>
        <v>0.745</v>
      </c>
      <c r="M140" s="3">
        <f>SUMIFS(ledger!$E$2:$E$548, ledger!$C$2:$C$548, B140, ledger!$I$2:$I$548, G140)</f>
        <v>149</v>
      </c>
      <c r="N140" s="3" t="str">
        <f t="shared" si="5"/>
        <v>Standard</v>
      </c>
    </row>
    <row r="141" spans="1:14" x14ac:dyDescent="0.3">
      <c r="A141" s="3" t="str">
        <f>ledger!A141</f>
        <v>TXN100139</v>
      </c>
      <c r="B141" s="3">
        <f>ledger!C141</f>
        <v>7</v>
      </c>
      <c r="C141" s="4" t="str">
        <f>IFERROR(VLOOKUP(B141, merchants!$A$2:$D$41, 2, FALSE), "Merchant not found")</f>
        <v>Merchant_007</v>
      </c>
      <c r="D141" s="3" t="str">
        <f>IFERROR(VLOOKUP(B141, merchants!$A$2:$D$41, 3, FALSE), "Merchant not found")</f>
        <v>food_delivery</v>
      </c>
      <c r="E141" s="3" t="str">
        <f>IFERROR(VLOOKUP(B141, merchants!$A$2:$D$41, 4, FALSE), "Merchant not found")</f>
        <v>East</v>
      </c>
      <c r="F141" s="4">
        <f>ledger!D141</f>
        <v>46046.102083333331</v>
      </c>
      <c r="G141" s="5">
        <f>ledger!I141</f>
        <v>46046</v>
      </c>
      <c r="H141" s="3">
        <f>ledger!E141</f>
        <v>499</v>
      </c>
      <c r="I141" s="3" t="str">
        <f>ledger!F141</f>
        <v>Card</v>
      </c>
      <c r="J141" s="3" t="str">
        <f>ledger!G141</f>
        <v>captured</v>
      </c>
      <c r="K141" s="9">
        <f>HLOOKUP(I141,Fee!$B$1:$E$2,2,FALSE())</f>
        <v>0.02</v>
      </c>
      <c r="L141" s="12">
        <f t="shared" si="4"/>
        <v>9.98</v>
      </c>
      <c r="M141" s="3">
        <f>SUMIFS(ledger!$E$2:$E$548, ledger!$C$2:$C$548, B141, ledger!$I$2:$I$548, G141)</f>
        <v>1298</v>
      </c>
      <c r="N141" s="3" t="str">
        <f t="shared" si="5"/>
        <v>Standard</v>
      </c>
    </row>
    <row r="142" spans="1:14" x14ac:dyDescent="0.3">
      <c r="A142" s="3" t="str">
        <f>ledger!A142</f>
        <v>TXN100140</v>
      </c>
      <c r="B142" s="3">
        <f>ledger!C142</f>
        <v>3</v>
      </c>
      <c r="C142" s="4" t="str">
        <f>IFERROR(VLOOKUP(B142, merchants!$A$2:$D$41, 2, FALSE), "Merchant not found")</f>
        <v>Merchant_003</v>
      </c>
      <c r="D142" s="3" t="str">
        <f>IFERROR(VLOOKUP(B142, merchants!$A$2:$D$41, 3, FALSE), "Merchant not found")</f>
        <v>grocery</v>
      </c>
      <c r="E142" s="3" t="str">
        <f>IFERROR(VLOOKUP(B142, merchants!$A$2:$D$41, 4, FALSE), "Merchant not found")</f>
        <v>East</v>
      </c>
      <c r="F142" s="4">
        <f>ledger!D142</f>
        <v>46028.929861111108</v>
      </c>
      <c r="G142" s="5">
        <f>ledger!I142</f>
        <v>46028</v>
      </c>
      <c r="H142" s="3">
        <f>ledger!E142</f>
        <v>799</v>
      </c>
      <c r="I142" s="3" t="str">
        <f>ledger!F142</f>
        <v>UPI</v>
      </c>
      <c r="J142" s="3" t="str">
        <f>ledger!G142</f>
        <v>captured</v>
      </c>
      <c r="K142" s="9">
        <f>HLOOKUP(I142,Fee!$B$1:$E$2,2,FALSE())</f>
        <v>5.0000000000000001E-3</v>
      </c>
      <c r="L142" s="12">
        <f t="shared" si="4"/>
        <v>3.9950000000000001</v>
      </c>
      <c r="M142" s="3">
        <f>SUMIFS(ledger!$E$2:$E$548, ledger!$C$2:$C$548, B142, ledger!$I$2:$I$548, G142)</f>
        <v>898</v>
      </c>
      <c r="N142" s="3" t="str">
        <f t="shared" si="5"/>
        <v>Standard</v>
      </c>
    </row>
    <row r="143" spans="1:14" x14ac:dyDescent="0.3">
      <c r="A143" s="3" t="str">
        <f>ledger!A143</f>
        <v>TXN100141</v>
      </c>
      <c r="B143" s="3">
        <f>ledger!C143</f>
        <v>24</v>
      </c>
      <c r="C143" s="4" t="str">
        <f>IFERROR(VLOOKUP(B143, merchants!$A$2:$D$41, 2, FALSE), "Merchant not found")</f>
        <v>Merchant_024</v>
      </c>
      <c r="D143" s="3" t="str">
        <f>IFERROR(VLOOKUP(B143, merchants!$A$2:$D$41, 3, FALSE), "Merchant not found")</f>
        <v>grocery</v>
      </c>
      <c r="E143" s="3" t="str">
        <f>IFERROR(VLOOKUP(B143, merchants!$A$2:$D$41, 4, FALSE), "Merchant not found")</f>
        <v>North</v>
      </c>
      <c r="F143" s="4">
        <f>ledger!D143</f>
        <v>46048.054166666669</v>
      </c>
      <c r="G143" s="5">
        <f>ledger!I143</f>
        <v>46048</v>
      </c>
      <c r="H143" s="3">
        <f>ledger!E143</f>
        <v>49</v>
      </c>
      <c r="I143" s="3" t="str">
        <f>ledger!F143</f>
        <v>UPI</v>
      </c>
      <c r="J143" s="3" t="str">
        <f>ledger!G143</f>
        <v>captured</v>
      </c>
      <c r="K143" s="9">
        <f>HLOOKUP(I143,Fee!$B$1:$E$2,2,FALSE())</f>
        <v>5.0000000000000001E-3</v>
      </c>
      <c r="L143" s="12">
        <f t="shared" si="4"/>
        <v>0.245</v>
      </c>
      <c r="M143" s="3">
        <f>SUMIFS(ledger!$E$2:$E$548, ledger!$C$2:$C$548, B143, ledger!$I$2:$I$548, G143)</f>
        <v>348</v>
      </c>
      <c r="N143" s="3" t="str">
        <f t="shared" si="5"/>
        <v>Standard</v>
      </c>
    </row>
    <row r="144" spans="1:14" x14ac:dyDescent="0.3">
      <c r="A144" s="3" t="str">
        <f>ledger!A144</f>
        <v>TXN100142</v>
      </c>
      <c r="B144" s="3">
        <f>ledger!C144</f>
        <v>37</v>
      </c>
      <c r="C144" s="4" t="str">
        <f>IFERROR(VLOOKUP(B144, merchants!$A$2:$D$41, 2, FALSE), "Merchant not found")</f>
        <v>Merchant_037</v>
      </c>
      <c r="D144" s="3" t="str">
        <f>IFERROR(VLOOKUP(B144, merchants!$A$2:$D$41, 3, FALSE), "Merchant not found")</f>
        <v>entertainment</v>
      </c>
      <c r="E144" s="3" t="str">
        <f>IFERROR(VLOOKUP(B144, merchants!$A$2:$D$41, 4, FALSE), "Merchant not found")</f>
        <v>South</v>
      </c>
      <c r="F144" s="4">
        <f>ledger!D144</f>
        <v>46027.314583333333</v>
      </c>
      <c r="G144" s="5">
        <f>ledger!I144</f>
        <v>46027</v>
      </c>
      <c r="H144" s="3">
        <f>ledger!E144</f>
        <v>1499</v>
      </c>
      <c r="I144" s="3" t="str">
        <f>ledger!F144</f>
        <v>UPI</v>
      </c>
      <c r="J144" s="3" t="str">
        <f>ledger!G144</f>
        <v>captured</v>
      </c>
      <c r="K144" s="9">
        <f>HLOOKUP(I144,Fee!$B$1:$E$2,2,FALSE())</f>
        <v>5.0000000000000001E-3</v>
      </c>
      <c r="L144" s="12">
        <f t="shared" si="4"/>
        <v>7.4950000000000001</v>
      </c>
      <c r="M144" s="3">
        <f>SUMIFS(ledger!$E$2:$E$548, ledger!$C$2:$C$548, B144, ledger!$I$2:$I$548, G144)</f>
        <v>1499</v>
      </c>
      <c r="N144" s="3" t="str">
        <f t="shared" si="5"/>
        <v>Standard</v>
      </c>
    </row>
    <row r="145" spans="1:14" x14ac:dyDescent="0.3">
      <c r="A145" s="3" t="str">
        <f>ledger!A145</f>
        <v>TXN100143</v>
      </c>
      <c r="B145" s="3">
        <f>ledger!C145</f>
        <v>6</v>
      </c>
      <c r="C145" s="4" t="str">
        <f>IFERROR(VLOOKUP(B145, merchants!$A$2:$D$41, 2, FALSE), "Merchant not found")</f>
        <v>Merchant_006</v>
      </c>
      <c r="D145" s="3" t="str">
        <f>IFERROR(VLOOKUP(B145, merchants!$A$2:$D$41, 3, FALSE), "Merchant not found")</f>
        <v>food_delivery</v>
      </c>
      <c r="E145" s="3" t="str">
        <f>IFERROR(VLOOKUP(B145, merchants!$A$2:$D$41, 4, FALSE), "Merchant not found")</f>
        <v>South</v>
      </c>
      <c r="F145" s="4">
        <f>ledger!D145</f>
        <v>46048.215277777781</v>
      </c>
      <c r="G145" s="5">
        <f>ledger!I145</f>
        <v>46048</v>
      </c>
      <c r="H145" s="3">
        <f>ledger!E145</f>
        <v>49</v>
      </c>
      <c r="I145" s="3" t="str">
        <f>ledger!F145</f>
        <v>Card</v>
      </c>
      <c r="J145" s="3" t="str">
        <f>ledger!G145</f>
        <v>captured</v>
      </c>
      <c r="K145" s="9">
        <f>HLOOKUP(I145,Fee!$B$1:$E$2,2,FALSE())</f>
        <v>0.02</v>
      </c>
      <c r="L145" s="12">
        <f t="shared" si="4"/>
        <v>0.98</v>
      </c>
      <c r="M145" s="3">
        <f>SUMIFS(ledger!$E$2:$E$548, ledger!$C$2:$C$548, B145, ledger!$I$2:$I$548, G145)</f>
        <v>897</v>
      </c>
      <c r="N145" s="3" t="str">
        <f t="shared" si="5"/>
        <v>Standard</v>
      </c>
    </row>
    <row r="146" spans="1:14" x14ac:dyDescent="0.3">
      <c r="A146" s="3" t="str">
        <f>ledger!A146</f>
        <v>TXN100144</v>
      </c>
      <c r="B146" s="3">
        <f>ledger!C146</f>
        <v>16</v>
      </c>
      <c r="C146" s="4" t="str">
        <f>IFERROR(VLOOKUP(B146, merchants!$A$2:$D$41, 2, FALSE), "Merchant not found")</f>
        <v>Merchant_016</v>
      </c>
      <c r="D146" s="3" t="str">
        <f>IFERROR(VLOOKUP(B146, merchants!$A$2:$D$41, 3, FALSE), "Merchant not found")</f>
        <v>bill_payment</v>
      </c>
      <c r="E146" s="3" t="str">
        <f>IFERROR(VLOOKUP(B146, merchants!$A$2:$D$41, 4, FALSE), "Merchant not found")</f>
        <v>West</v>
      </c>
      <c r="F146" s="4">
        <f>ledger!D146</f>
        <v>46050.527083333334</v>
      </c>
      <c r="G146" s="5">
        <f>ledger!I146</f>
        <v>46050</v>
      </c>
      <c r="H146" s="3">
        <f>ledger!E146</f>
        <v>49</v>
      </c>
      <c r="I146" s="3" t="str">
        <f>ledger!F146</f>
        <v>UPI</v>
      </c>
      <c r="J146" s="3" t="str">
        <f>ledger!G146</f>
        <v>captured</v>
      </c>
      <c r="K146" s="9">
        <f>HLOOKUP(I146,Fee!$B$1:$E$2,2,FALSE())</f>
        <v>5.0000000000000001E-3</v>
      </c>
      <c r="L146" s="12">
        <f t="shared" si="4"/>
        <v>0.245</v>
      </c>
      <c r="M146" s="3">
        <f>SUMIFS(ledger!$E$2:$E$548, ledger!$C$2:$C$548, B146, ledger!$I$2:$I$548, G146)</f>
        <v>49</v>
      </c>
      <c r="N146" s="3" t="str">
        <f t="shared" si="5"/>
        <v>Standard</v>
      </c>
    </row>
    <row r="147" spans="1:14" x14ac:dyDescent="0.3">
      <c r="A147" s="3" t="str">
        <f>ledger!A147</f>
        <v>TXN100145</v>
      </c>
      <c r="B147" s="3">
        <f>ledger!C147</f>
        <v>30</v>
      </c>
      <c r="C147" s="4" t="str">
        <f>IFERROR(VLOOKUP(B147, merchants!$A$2:$D$41, 2, FALSE), "Merchant not found")</f>
        <v>Merchant_030</v>
      </c>
      <c r="D147" s="3" t="str">
        <f>IFERROR(VLOOKUP(B147, merchants!$A$2:$D$41, 3, FALSE), "Merchant not found")</f>
        <v>travel</v>
      </c>
      <c r="E147" s="3" t="str">
        <f>IFERROR(VLOOKUP(B147, merchants!$A$2:$D$41, 4, FALSE), "Merchant not found")</f>
        <v>West</v>
      </c>
      <c r="F147" s="4">
        <f>ledger!D147</f>
        <v>46052.756249999999</v>
      </c>
      <c r="G147" s="5">
        <f>ledger!I147</f>
        <v>46052</v>
      </c>
      <c r="H147" s="3">
        <f>ledger!E147</f>
        <v>49</v>
      </c>
      <c r="I147" s="3" t="str">
        <f>ledger!F147</f>
        <v>Card</v>
      </c>
      <c r="J147" s="3" t="str">
        <f>ledger!G147</f>
        <v>captured</v>
      </c>
      <c r="K147" s="9">
        <f>HLOOKUP(I147,Fee!$B$1:$E$2,2,FALSE())</f>
        <v>0.02</v>
      </c>
      <c r="L147" s="12">
        <f t="shared" si="4"/>
        <v>0.98</v>
      </c>
      <c r="M147" s="3">
        <f>SUMIFS(ledger!$E$2:$E$548, ledger!$C$2:$C$548, B147, ledger!$I$2:$I$548, G147)</f>
        <v>49</v>
      </c>
      <c r="N147" s="3" t="str">
        <f t="shared" si="5"/>
        <v>Standard</v>
      </c>
    </row>
    <row r="148" spans="1:14" x14ac:dyDescent="0.3">
      <c r="A148" s="3" t="str">
        <f>ledger!A148</f>
        <v>TXN100146</v>
      </c>
      <c r="B148" s="3">
        <f>ledger!C148</f>
        <v>1</v>
      </c>
      <c r="C148" s="4" t="str">
        <f>IFERROR(VLOOKUP(B148, merchants!$A$2:$D$41, 2, FALSE), "Merchant not found")</f>
        <v>Merchant_001</v>
      </c>
      <c r="D148" s="3" t="str">
        <f>IFERROR(VLOOKUP(B148, merchants!$A$2:$D$41, 3, FALSE), "Merchant not found")</f>
        <v>ecommerce</v>
      </c>
      <c r="E148" s="3" t="str">
        <f>IFERROR(VLOOKUP(B148, merchants!$A$2:$D$41, 4, FALSE), "Merchant not found")</f>
        <v>South</v>
      </c>
      <c r="F148" s="4">
        <f>ledger!D148</f>
        <v>46031.594444444447</v>
      </c>
      <c r="G148" s="5">
        <f>ledger!I148</f>
        <v>46031</v>
      </c>
      <c r="H148" s="3">
        <f>ledger!E148</f>
        <v>49</v>
      </c>
      <c r="I148" s="3" t="str">
        <f>ledger!F148</f>
        <v>UPI</v>
      </c>
      <c r="J148" s="3" t="str">
        <f>ledger!G148</f>
        <v>captured</v>
      </c>
      <c r="K148" s="9">
        <f>HLOOKUP(I148,Fee!$B$1:$E$2,2,FALSE())</f>
        <v>5.0000000000000001E-3</v>
      </c>
      <c r="L148" s="12">
        <f t="shared" si="4"/>
        <v>0.245</v>
      </c>
      <c r="M148" s="3">
        <f>SUMIFS(ledger!$E$2:$E$548, ledger!$C$2:$C$548, B148, ledger!$I$2:$I$548, G148)</f>
        <v>5048</v>
      </c>
      <c r="N148" s="3" t="str">
        <f t="shared" si="5"/>
        <v>High Value</v>
      </c>
    </row>
    <row r="149" spans="1:14" x14ac:dyDescent="0.3">
      <c r="A149" s="3" t="str">
        <f>ledger!A149</f>
        <v>TXN100147</v>
      </c>
      <c r="B149" s="3">
        <f>ledger!C149</f>
        <v>11</v>
      </c>
      <c r="C149" s="4" t="str">
        <f>IFERROR(VLOOKUP(B149, merchants!$A$2:$D$41, 2, FALSE), "Merchant not found")</f>
        <v>Merchant_011</v>
      </c>
      <c r="D149" s="3" t="str">
        <f>IFERROR(VLOOKUP(B149, merchants!$A$2:$D$41, 3, FALSE), "Merchant not found")</f>
        <v>ecommerce</v>
      </c>
      <c r="E149" s="3" t="str">
        <f>IFERROR(VLOOKUP(B149, merchants!$A$2:$D$41, 4, FALSE), "Merchant not found")</f>
        <v>North</v>
      </c>
      <c r="F149" s="4">
        <f>ledger!D149</f>
        <v>46051.404861111114</v>
      </c>
      <c r="G149" s="5">
        <f>ledger!I149</f>
        <v>46051</v>
      </c>
      <c r="H149" s="3">
        <f>ledger!E149</f>
        <v>149</v>
      </c>
      <c r="I149" s="3" t="str">
        <f>ledger!F149</f>
        <v>UPI</v>
      </c>
      <c r="J149" s="3" t="str">
        <f>ledger!G149</f>
        <v>chargeback</v>
      </c>
      <c r="K149" s="9">
        <f>HLOOKUP(I149,Fee!$B$1:$E$2,2,FALSE())</f>
        <v>5.0000000000000001E-3</v>
      </c>
      <c r="L149" s="12">
        <f t="shared" si="4"/>
        <v>0.745</v>
      </c>
      <c r="M149" s="3">
        <f>SUMIFS(ledger!$E$2:$E$548, ledger!$C$2:$C$548, B149, ledger!$I$2:$I$548, G149)</f>
        <v>149</v>
      </c>
      <c r="N149" s="3" t="str">
        <f t="shared" si="5"/>
        <v>Standard</v>
      </c>
    </row>
    <row r="150" spans="1:14" x14ac:dyDescent="0.3">
      <c r="A150" s="3" t="str">
        <f>ledger!A150</f>
        <v>TXN100148</v>
      </c>
      <c r="B150" s="3">
        <f>ledger!C150</f>
        <v>28</v>
      </c>
      <c r="C150" s="4" t="str">
        <f>IFERROR(VLOOKUP(B150, merchants!$A$2:$D$41, 2, FALSE), "Merchant not found")</f>
        <v>Merchant_028</v>
      </c>
      <c r="D150" s="3" t="str">
        <f>IFERROR(VLOOKUP(B150, merchants!$A$2:$D$41, 3, FALSE), "Merchant not found")</f>
        <v>ecommerce</v>
      </c>
      <c r="E150" s="3" t="str">
        <f>IFERROR(VLOOKUP(B150, merchants!$A$2:$D$41, 4, FALSE), "Merchant not found")</f>
        <v>South</v>
      </c>
      <c r="F150" s="4">
        <f>ledger!D150</f>
        <v>46037.484027777777</v>
      </c>
      <c r="G150" s="5">
        <f>ledger!I150</f>
        <v>46037</v>
      </c>
      <c r="H150" s="3">
        <f>ledger!E150</f>
        <v>2999</v>
      </c>
      <c r="I150" s="3" t="str">
        <f>ledger!F150</f>
        <v>Netbanking</v>
      </c>
      <c r="J150" s="3" t="str">
        <f>ledger!G150</f>
        <v>captured</v>
      </c>
      <c r="K150" s="9">
        <f>HLOOKUP(I150,Fee!$B$1:$E$2,2,FALSE())</f>
        <v>1.7999999999999999E-2</v>
      </c>
      <c r="L150" s="12">
        <f t="shared" si="4"/>
        <v>53.981999999999999</v>
      </c>
      <c r="M150" s="3">
        <f>SUMIFS(ledger!$E$2:$E$548, ledger!$C$2:$C$548, B150, ledger!$I$2:$I$548, G150)</f>
        <v>2999</v>
      </c>
      <c r="N150" s="3" t="str">
        <f t="shared" si="5"/>
        <v>Standard</v>
      </c>
    </row>
    <row r="151" spans="1:14" x14ac:dyDescent="0.3">
      <c r="A151" s="3" t="str">
        <f>ledger!A151</f>
        <v>TXN100149</v>
      </c>
      <c r="B151" s="3">
        <f>ledger!C151</f>
        <v>13</v>
      </c>
      <c r="C151" s="4" t="str">
        <f>IFERROR(VLOOKUP(B151, merchants!$A$2:$D$41, 2, FALSE), "Merchant not found")</f>
        <v>Merchant_013</v>
      </c>
      <c r="D151" s="3" t="str">
        <f>IFERROR(VLOOKUP(B151, merchants!$A$2:$D$41, 3, FALSE), "Merchant not found")</f>
        <v>travel</v>
      </c>
      <c r="E151" s="3" t="str">
        <f>IFERROR(VLOOKUP(B151, merchants!$A$2:$D$41, 4, FALSE), "Merchant not found")</f>
        <v>East</v>
      </c>
      <c r="F151" s="4">
        <f>ledger!D151</f>
        <v>46031.620833333334</v>
      </c>
      <c r="G151" s="5">
        <f>ledger!I151</f>
        <v>46031</v>
      </c>
      <c r="H151" s="3">
        <f>ledger!E151</f>
        <v>149</v>
      </c>
      <c r="I151" s="3" t="str">
        <f>ledger!F151</f>
        <v>UPI</v>
      </c>
      <c r="J151" s="3" t="str">
        <f>ledger!G151</f>
        <v>captured</v>
      </c>
      <c r="K151" s="9">
        <f>HLOOKUP(I151,Fee!$B$1:$E$2,2,FALSE())</f>
        <v>5.0000000000000001E-3</v>
      </c>
      <c r="L151" s="12">
        <f t="shared" si="4"/>
        <v>0.745</v>
      </c>
      <c r="M151" s="3">
        <f>SUMIFS(ledger!$E$2:$E$548, ledger!$C$2:$C$548, B151, ledger!$I$2:$I$548, G151)</f>
        <v>198</v>
      </c>
      <c r="N151" s="3" t="str">
        <f t="shared" si="5"/>
        <v>Standard</v>
      </c>
    </row>
    <row r="152" spans="1:14" x14ac:dyDescent="0.3">
      <c r="A152" s="3" t="str">
        <f>ledger!A152</f>
        <v>TXN100150</v>
      </c>
      <c r="B152" s="3">
        <f>ledger!C152</f>
        <v>25</v>
      </c>
      <c r="C152" s="4" t="str">
        <f>IFERROR(VLOOKUP(B152, merchants!$A$2:$D$41, 2, FALSE), "Merchant not found")</f>
        <v>Merchant_025</v>
      </c>
      <c r="D152" s="3" t="str">
        <f>IFERROR(VLOOKUP(B152, merchants!$A$2:$D$41, 3, FALSE), "Merchant not found")</f>
        <v>travel</v>
      </c>
      <c r="E152" s="3" t="str">
        <f>IFERROR(VLOOKUP(B152, merchants!$A$2:$D$41, 4, FALSE), "Merchant not found")</f>
        <v>South</v>
      </c>
      <c r="F152" s="4">
        <f>ledger!D152</f>
        <v>46050.629166666666</v>
      </c>
      <c r="G152" s="5">
        <f>ledger!I152</f>
        <v>46050</v>
      </c>
      <c r="H152" s="3">
        <f>ledger!E152</f>
        <v>299</v>
      </c>
      <c r="I152" s="3" t="str">
        <f>ledger!F152</f>
        <v>UPI</v>
      </c>
      <c r="J152" s="3" t="str">
        <f>ledger!G152</f>
        <v>captured</v>
      </c>
      <c r="K152" s="9">
        <f>HLOOKUP(I152,Fee!$B$1:$E$2,2,FALSE())</f>
        <v>5.0000000000000001E-3</v>
      </c>
      <c r="L152" s="12">
        <f t="shared" si="4"/>
        <v>1.4950000000000001</v>
      </c>
      <c r="M152" s="3">
        <f>SUMIFS(ledger!$E$2:$E$548, ledger!$C$2:$C$548, B152, ledger!$I$2:$I$548, G152)</f>
        <v>299</v>
      </c>
      <c r="N152" s="3" t="str">
        <f t="shared" si="5"/>
        <v>Standard</v>
      </c>
    </row>
    <row r="153" spans="1:14" x14ac:dyDescent="0.3">
      <c r="A153" s="3" t="str">
        <f>ledger!A153</f>
        <v>TXN100151</v>
      </c>
      <c r="B153" s="3">
        <f>ledger!C153</f>
        <v>2</v>
      </c>
      <c r="C153" s="4" t="str">
        <f>IFERROR(VLOOKUP(B153, merchants!$A$2:$D$41, 2, FALSE), "Merchant not found")</f>
        <v>Merchant_002</v>
      </c>
      <c r="D153" s="3" t="str">
        <f>IFERROR(VLOOKUP(B153, merchants!$A$2:$D$41, 3, FALSE), "Merchant not found")</f>
        <v>grocery</v>
      </c>
      <c r="E153" s="3" t="str">
        <f>IFERROR(VLOOKUP(B153, merchants!$A$2:$D$41, 4, FALSE), "Merchant not found")</f>
        <v>West</v>
      </c>
      <c r="F153" s="4">
        <f>ledger!D153</f>
        <v>46034.762499999997</v>
      </c>
      <c r="G153" s="5">
        <f>ledger!I153</f>
        <v>46034</v>
      </c>
      <c r="H153" s="3">
        <f>ledger!E153</f>
        <v>49</v>
      </c>
      <c r="I153" s="3" t="str">
        <f>ledger!F153</f>
        <v>UPI</v>
      </c>
      <c r="J153" s="3" t="str">
        <f>ledger!G153</f>
        <v>captured</v>
      </c>
      <c r="K153" s="9">
        <f>HLOOKUP(I153,Fee!$B$1:$E$2,2,FALSE())</f>
        <v>5.0000000000000001E-3</v>
      </c>
      <c r="L153" s="12">
        <f t="shared" si="4"/>
        <v>0.245</v>
      </c>
      <c r="M153" s="3">
        <f>SUMIFS(ledger!$E$2:$E$548, ledger!$C$2:$C$548, B153, ledger!$I$2:$I$548, G153)</f>
        <v>348</v>
      </c>
      <c r="N153" s="3" t="str">
        <f t="shared" si="5"/>
        <v>Standard</v>
      </c>
    </row>
    <row r="154" spans="1:14" x14ac:dyDescent="0.3">
      <c r="A154" s="3" t="str">
        <f>ledger!A154</f>
        <v>TXN100152</v>
      </c>
      <c r="B154" s="3">
        <f>ledger!C154</f>
        <v>4</v>
      </c>
      <c r="C154" s="4" t="str">
        <f>IFERROR(VLOOKUP(B154, merchants!$A$2:$D$41, 2, FALSE), "Merchant not found")</f>
        <v>Merchant_004</v>
      </c>
      <c r="D154" s="3" t="str">
        <f>IFERROR(VLOOKUP(B154, merchants!$A$2:$D$41, 3, FALSE), "Merchant not found")</f>
        <v>ecommerce</v>
      </c>
      <c r="E154" s="3" t="str">
        <f>IFERROR(VLOOKUP(B154, merchants!$A$2:$D$41, 4, FALSE), "Merchant not found")</f>
        <v>East</v>
      </c>
      <c r="F154" s="4">
        <f>ledger!D154</f>
        <v>46035.333333333336</v>
      </c>
      <c r="G154" s="5">
        <f>ledger!I154</f>
        <v>46035</v>
      </c>
      <c r="H154" s="3">
        <f>ledger!E154</f>
        <v>149</v>
      </c>
      <c r="I154" s="3" t="str">
        <f>ledger!F154</f>
        <v>UPI</v>
      </c>
      <c r="J154" s="3" t="str">
        <f>ledger!G154</f>
        <v>captured</v>
      </c>
      <c r="K154" s="9">
        <f>HLOOKUP(I154,Fee!$B$1:$E$2,2,FALSE())</f>
        <v>5.0000000000000001E-3</v>
      </c>
      <c r="L154" s="12">
        <f t="shared" si="4"/>
        <v>0.745</v>
      </c>
      <c r="M154" s="3">
        <f>SUMIFS(ledger!$E$2:$E$548, ledger!$C$2:$C$548, B154, ledger!$I$2:$I$548, G154)</f>
        <v>948</v>
      </c>
      <c r="N154" s="3" t="str">
        <f t="shared" si="5"/>
        <v>Standard</v>
      </c>
    </row>
    <row r="155" spans="1:14" x14ac:dyDescent="0.3">
      <c r="A155" s="3" t="str">
        <f>ledger!A155</f>
        <v>TXN100153</v>
      </c>
      <c r="B155" s="3">
        <f>ledger!C155</f>
        <v>15</v>
      </c>
      <c r="C155" s="4" t="str">
        <f>IFERROR(VLOOKUP(B155, merchants!$A$2:$D$41, 2, FALSE), "Merchant not found")</f>
        <v>Merchant_015</v>
      </c>
      <c r="D155" s="3" t="str">
        <f>IFERROR(VLOOKUP(B155, merchants!$A$2:$D$41, 3, FALSE), "Merchant not found")</f>
        <v>travel</v>
      </c>
      <c r="E155" s="3" t="str">
        <f>IFERROR(VLOOKUP(B155, merchants!$A$2:$D$41, 4, FALSE), "Merchant not found")</f>
        <v>North</v>
      </c>
      <c r="F155" s="4">
        <f>ledger!D155</f>
        <v>46046.661805555559</v>
      </c>
      <c r="G155" s="5">
        <f>ledger!I155</f>
        <v>46046</v>
      </c>
      <c r="H155" s="3">
        <f>ledger!E155</f>
        <v>49</v>
      </c>
      <c r="I155" s="3" t="str">
        <f>ledger!F155</f>
        <v>Wallet</v>
      </c>
      <c r="J155" s="3" t="str">
        <f>ledger!G155</f>
        <v>captured</v>
      </c>
      <c r="K155" s="9">
        <f>HLOOKUP(I155,Fee!$B$1:$E$2,2,FALSE())</f>
        <v>1.4999999999999999E-2</v>
      </c>
      <c r="L155" s="12">
        <f t="shared" si="4"/>
        <v>0.73499999999999999</v>
      </c>
      <c r="M155" s="3">
        <f>SUMIFS(ledger!$E$2:$E$548, ledger!$C$2:$C$548, B155, ledger!$I$2:$I$548, G155)</f>
        <v>148</v>
      </c>
      <c r="N155" s="3" t="str">
        <f t="shared" si="5"/>
        <v>Standard</v>
      </c>
    </row>
    <row r="156" spans="1:14" x14ac:dyDescent="0.3">
      <c r="A156" s="3" t="str">
        <f>ledger!A156</f>
        <v>TXN100154</v>
      </c>
      <c r="B156" s="3">
        <f>ledger!C156</f>
        <v>13</v>
      </c>
      <c r="C156" s="4" t="str">
        <f>IFERROR(VLOOKUP(B156, merchants!$A$2:$D$41, 2, FALSE), "Merchant not found")</f>
        <v>Merchant_013</v>
      </c>
      <c r="D156" s="3" t="str">
        <f>IFERROR(VLOOKUP(B156, merchants!$A$2:$D$41, 3, FALSE), "Merchant not found")</f>
        <v>travel</v>
      </c>
      <c r="E156" s="3" t="str">
        <f>IFERROR(VLOOKUP(B156, merchants!$A$2:$D$41, 4, FALSE), "Merchant not found")</f>
        <v>East</v>
      </c>
      <c r="F156" s="4">
        <f>ledger!D156</f>
        <v>46048.468055555553</v>
      </c>
      <c r="G156" s="5">
        <f>ledger!I156</f>
        <v>46048</v>
      </c>
      <c r="H156" s="3">
        <f>ledger!E156</f>
        <v>299</v>
      </c>
      <c r="I156" s="3" t="str">
        <f>ledger!F156</f>
        <v>Netbanking</v>
      </c>
      <c r="J156" s="3" t="str">
        <f>ledger!G156</f>
        <v>captured</v>
      </c>
      <c r="K156" s="9">
        <f>HLOOKUP(I156,Fee!$B$1:$E$2,2,FALSE())</f>
        <v>1.7999999999999999E-2</v>
      </c>
      <c r="L156" s="12">
        <f t="shared" si="4"/>
        <v>5.3819999999999997</v>
      </c>
      <c r="M156" s="3">
        <f>SUMIFS(ledger!$E$2:$E$548, ledger!$C$2:$C$548, B156, ledger!$I$2:$I$548, G156)</f>
        <v>299</v>
      </c>
      <c r="N156" s="3" t="str">
        <f t="shared" si="5"/>
        <v>Standard</v>
      </c>
    </row>
    <row r="157" spans="1:14" x14ac:dyDescent="0.3">
      <c r="A157" s="3" t="str">
        <f>ledger!A157</f>
        <v>TXN100155</v>
      </c>
      <c r="B157" s="3">
        <f>ledger!C157</f>
        <v>9</v>
      </c>
      <c r="C157" s="4" t="str">
        <f>IFERROR(VLOOKUP(B157, merchants!$A$2:$D$41, 2, FALSE), "Merchant not found")</f>
        <v>Merchant_009</v>
      </c>
      <c r="D157" s="3" t="str">
        <f>IFERROR(VLOOKUP(B157, merchants!$A$2:$D$41, 3, FALSE), "Merchant not found")</f>
        <v>ecommerce</v>
      </c>
      <c r="E157" s="3" t="str">
        <f>IFERROR(VLOOKUP(B157, merchants!$A$2:$D$41, 4, FALSE), "Merchant not found")</f>
        <v>North</v>
      </c>
      <c r="F157" s="4">
        <f>ledger!D157</f>
        <v>46031.908333333333</v>
      </c>
      <c r="G157" s="5">
        <f>ledger!I157</f>
        <v>46031</v>
      </c>
      <c r="H157" s="3">
        <f>ledger!E157</f>
        <v>99</v>
      </c>
      <c r="I157" s="3" t="str">
        <f>ledger!F157</f>
        <v>Card</v>
      </c>
      <c r="J157" s="3" t="str">
        <f>ledger!G157</f>
        <v>captured</v>
      </c>
      <c r="K157" s="9">
        <f>HLOOKUP(I157,Fee!$B$1:$E$2,2,FALSE())</f>
        <v>0.02</v>
      </c>
      <c r="L157" s="12">
        <f t="shared" si="4"/>
        <v>1.98</v>
      </c>
      <c r="M157" s="3">
        <f>SUMIFS(ledger!$E$2:$E$548, ledger!$C$2:$C$548, B157, ledger!$I$2:$I$548, G157)</f>
        <v>99</v>
      </c>
      <c r="N157" s="3" t="str">
        <f t="shared" si="5"/>
        <v>Standard</v>
      </c>
    </row>
    <row r="158" spans="1:14" x14ac:dyDescent="0.3">
      <c r="A158" s="3" t="str">
        <f>ledger!A158</f>
        <v>TXN100156</v>
      </c>
      <c r="B158" s="3">
        <f>ledger!C158</f>
        <v>20</v>
      </c>
      <c r="C158" s="4" t="str">
        <f>IFERROR(VLOOKUP(B158, merchants!$A$2:$D$41, 2, FALSE), "Merchant not found")</f>
        <v>Merchant_020</v>
      </c>
      <c r="D158" s="3" t="str">
        <f>IFERROR(VLOOKUP(B158, merchants!$A$2:$D$41, 3, FALSE), "Merchant not found")</f>
        <v>food_delivery</v>
      </c>
      <c r="E158" s="3" t="str">
        <f>IFERROR(VLOOKUP(B158, merchants!$A$2:$D$41, 4, FALSE), "Merchant not found")</f>
        <v>East</v>
      </c>
      <c r="F158" s="4">
        <f>ledger!D158</f>
        <v>46026.861805555556</v>
      </c>
      <c r="G158" s="5">
        <f>ledger!I158</f>
        <v>46026</v>
      </c>
      <c r="H158" s="3">
        <f>ledger!E158</f>
        <v>2999</v>
      </c>
      <c r="I158" s="3" t="str">
        <f>ledger!F158</f>
        <v>UPI</v>
      </c>
      <c r="J158" s="3" t="str">
        <f>ledger!G158</f>
        <v>captured</v>
      </c>
      <c r="K158" s="9">
        <f>HLOOKUP(I158,Fee!$B$1:$E$2,2,FALSE())</f>
        <v>5.0000000000000001E-3</v>
      </c>
      <c r="L158" s="12">
        <f t="shared" si="4"/>
        <v>14.995000000000001</v>
      </c>
      <c r="M158" s="3">
        <f>SUMIFS(ledger!$E$2:$E$548, ledger!$C$2:$C$548, B158, ledger!$I$2:$I$548, G158)</f>
        <v>2999</v>
      </c>
      <c r="N158" s="3" t="str">
        <f t="shared" si="5"/>
        <v>Standard</v>
      </c>
    </row>
    <row r="159" spans="1:14" x14ac:dyDescent="0.3">
      <c r="A159" s="3" t="str">
        <f>ledger!A159</f>
        <v>TXN100157</v>
      </c>
      <c r="B159" s="3">
        <f>ledger!C159</f>
        <v>9</v>
      </c>
      <c r="C159" s="4" t="str">
        <f>IFERROR(VLOOKUP(B159, merchants!$A$2:$D$41, 2, FALSE), "Merchant not found")</f>
        <v>Merchant_009</v>
      </c>
      <c r="D159" s="3" t="str">
        <f>IFERROR(VLOOKUP(B159, merchants!$A$2:$D$41, 3, FALSE), "Merchant not found")</f>
        <v>ecommerce</v>
      </c>
      <c r="E159" s="3" t="str">
        <f>IFERROR(VLOOKUP(B159, merchants!$A$2:$D$41, 4, FALSE), "Merchant not found")</f>
        <v>North</v>
      </c>
      <c r="F159" s="4">
        <f>ledger!D159</f>
        <v>46037.067361111112</v>
      </c>
      <c r="G159" s="5">
        <f>ledger!I159</f>
        <v>46037</v>
      </c>
      <c r="H159" s="3">
        <f>ledger!E159</f>
        <v>49</v>
      </c>
      <c r="I159" s="3" t="str">
        <f>ledger!F159</f>
        <v>Card</v>
      </c>
      <c r="J159" s="3" t="str">
        <f>ledger!G159</f>
        <v>failed</v>
      </c>
      <c r="K159" s="9">
        <f>HLOOKUP(I159,Fee!$B$1:$E$2,2,FALSE())</f>
        <v>0.02</v>
      </c>
      <c r="L159" s="12">
        <f t="shared" si="4"/>
        <v>0.98</v>
      </c>
      <c r="M159" s="3">
        <f>SUMIFS(ledger!$E$2:$E$548, ledger!$C$2:$C$548, B159, ledger!$I$2:$I$548, G159)</f>
        <v>148</v>
      </c>
      <c r="N159" s="3" t="str">
        <f t="shared" si="5"/>
        <v>Standard</v>
      </c>
    </row>
    <row r="160" spans="1:14" x14ac:dyDescent="0.3">
      <c r="A160" s="3" t="str">
        <f>ledger!A160</f>
        <v>TXN100158</v>
      </c>
      <c r="B160" s="3">
        <f>ledger!C160</f>
        <v>12</v>
      </c>
      <c r="C160" s="4" t="str">
        <f>IFERROR(VLOOKUP(B160, merchants!$A$2:$D$41, 2, FALSE), "Merchant not found")</f>
        <v>Merchant_012</v>
      </c>
      <c r="D160" s="3" t="str">
        <f>IFERROR(VLOOKUP(B160, merchants!$A$2:$D$41, 3, FALSE), "Merchant not found")</f>
        <v>ecommerce</v>
      </c>
      <c r="E160" s="3" t="str">
        <f>IFERROR(VLOOKUP(B160, merchants!$A$2:$D$41, 4, FALSE), "Merchant not found")</f>
        <v>East</v>
      </c>
      <c r="F160" s="4">
        <f>ledger!D160</f>
        <v>46052.388888888891</v>
      </c>
      <c r="G160" s="5">
        <f>ledger!I160</f>
        <v>46052</v>
      </c>
      <c r="H160" s="3">
        <f>ledger!E160</f>
        <v>4999</v>
      </c>
      <c r="I160" s="3" t="str">
        <f>ledger!F160</f>
        <v>UPI</v>
      </c>
      <c r="J160" s="3" t="str">
        <f>ledger!G160</f>
        <v>captured</v>
      </c>
      <c r="K160" s="9">
        <f>HLOOKUP(I160,Fee!$B$1:$E$2,2,FALSE())</f>
        <v>5.0000000000000001E-3</v>
      </c>
      <c r="L160" s="12">
        <f t="shared" si="4"/>
        <v>24.995000000000001</v>
      </c>
      <c r="M160" s="3">
        <f>SUMIFS(ledger!$E$2:$E$548, ledger!$C$2:$C$548, B160, ledger!$I$2:$I$548, G160)</f>
        <v>4999</v>
      </c>
      <c r="N160" s="3" t="str">
        <f t="shared" si="5"/>
        <v>Standard</v>
      </c>
    </row>
    <row r="161" spans="1:14" x14ac:dyDescent="0.3">
      <c r="A161" s="3" t="str">
        <f>ledger!A161</f>
        <v>TXN100159</v>
      </c>
      <c r="B161" s="3">
        <f>ledger!C161</f>
        <v>34</v>
      </c>
      <c r="C161" s="4" t="str">
        <f>IFERROR(VLOOKUP(B161, merchants!$A$2:$D$41, 2, FALSE), "Merchant not found")</f>
        <v>Merchant_034</v>
      </c>
      <c r="D161" s="3" t="str">
        <f>IFERROR(VLOOKUP(B161, merchants!$A$2:$D$41, 3, FALSE), "Merchant not found")</f>
        <v>travel</v>
      </c>
      <c r="E161" s="3" t="str">
        <f>IFERROR(VLOOKUP(B161, merchants!$A$2:$D$41, 4, FALSE), "Merchant not found")</f>
        <v>South</v>
      </c>
      <c r="F161" s="4">
        <f>ledger!D161</f>
        <v>46027.74722222222</v>
      </c>
      <c r="G161" s="5">
        <f>ledger!I161</f>
        <v>46027</v>
      </c>
      <c r="H161" s="3">
        <f>ledger!E161</f>
        <v>2999</v>
      </c>
      <c r="I161" s="3" t="str">
        <f>ledger!F161</f>
        <v>UPI</v>
      </c>
      <c r="J161" s="3" t="str">
        <f>ledger!G161</f>
        <v>captured</v>
      </c>
      <c r="K161" s="9">
        <f>HLOOKUP(I161,Fee!$B$1:$E$2,2,FALSE())</f>
        <v>5.0000000000000001E-3</v>
      </c>
      <c r="L161" s="12">
        <f t="shared" si="4"/>
        <v>14.995000000000001</v>
      </c>
      <c r="M161" s="3">
        <f>SUMIFS(ledger!$E$2:$E$548, ledger!$C$2:$C$548, B161, ledger!$I$2:$I$548, G161)</f>
        <v>2999</v>
      </c>
      <c r="N161" s="3" t="str">
        <f t="shared" si="5"/>
        <v>Standard</v>
      </c>
    </row>
    <row r="162" spans="1:14" x14ac:dyDescent="0.3">
      <c r="A162" s="3" t="str">
        <f>ledger!A162</f>
        <v>TXN100160</v>
      </c>
      <c r="B162" s="3">
        <f>ledger!C162</f>
        <v>17</v>
      </c>
      <c r="C162" s="4" t="str">
        <f>IFERROR(VLOOKUP(B162, merchants!$A$2:$D$41, 2, FALSE), "Merchant not found")</f>
        <v>Merchant_017</v>
      </c>
      <c r="D162" s="3" t="str">
        <f>IFERROR(VLOOKUP(B162, merchants!$A$2:$D$41, 3, FALSE), "Merchant not found")</f>
        <v>grocery</v>
      </c>
      <c r="E162" s="3" t="str">
        <f>IFERROR(VLOOKUP(B162, merchants!$A$2:$D$41, 4, FALSE), "Merchant not found")</f>
        <v>North</v>
      </c>
      <c r="F162" s="4">
        <f>ledger!D162</f>
        <v>46052.370138888888</v>
      </c>
      <c r="G162" s="5">
        <f>ledger!I162</f>
        <v>46052</v>
      </c>
      <c r="H162" s="3">
        <f>ledger!E162</f>
        <v>499</v>
      </c>
      <c r="I162" s="3" t="str">
        <f>ledger!F162</f>
        <v>UPI</v>
      </c>
      <c r="J162" s="3" t="str">
        <f>ledger!G162</f>
        <v>captured</v>
      </c>
      <c r="K162" s="9">
        <f>HLOOKUP(I162,Fee!$B$1:$E$2,2,FALSE())</f>
        <v>5.0000000000000001E-3</v>
      </c>
      <c r="L162" s="12">
        <f t="shared" si="4"/>
        <v>2.4950000000000001</v>
      </c>
      <c r="M162" s="3">
        <f>SUMIFS(ledger!$E$2:$E$548, ledger!$C$2:$C$548, B162, ledger!$I$2:$I$548, G162)</f>
        <v>499</v>
      </c>
      <c r="N162" s="3" t="str">
        <f t="shared" si="5"/>
        <v>Standard</v>
      </c>
    </row>
    <row r="163" spans="1:14" x14ac:dyDescent="0.3">
      <c r="A163" s="3" t="str">
        <f>ledger!A163</f>
        <v>TXN100161</v>
      </c>
      <c r="B163" s="3">
        <f>ledger!C163</f>
        <v>8</v>
      </c>
      <c r="C163" s="4" t="str">
        <f>IFERROR(VLOOKUP(B163, merchants!$A$2:$D$41, 2, FALSE), "Merchant not found")</f>
        <v>Merchant_008</v>
      </c>
      <c r="D163" s="3" t="str">
        <f>IFERROR(VLOOKUP(B163, merchants!$A$2:$D$41, 3, FALSE), "Merchant not found")</f>
        <v>food_delivery</v>
      </c>
      <c r="E163" s="3" t="str">
        <f>IFERROR(VLOOKUP(B163, merchants!$A$2:$D$41, 4, FALSE), "Merchant not found")</f>
        <v>North</v>
      </c>
      <c r="F163" s="4">
        <f>ledger!D163</f>
        <v>46048.407638888886</v>
      </c>
      <c r="G163" s="5">
        <f>ledger!I163</f>
        <v>46048</v>
      </c>
      <c r="H163" s="3">
        <f>ledger!E163</f>
        <v>299</v>
      </c>
      <c r="I163" s="3" t="str">
        <f>ledger!F163</f>
        <v>Netbanking</v>
      </c>
      <c r="J163" s="3" t="str">
        <f>ledger!G163</f>
        <v>captured</v>
      </c>
      <c r="K163" s="9">
        <f>HLOOKUP(I163,Fee!$B$1:$E$2,2,FALSE())</f>
        <v>1.7999999999999999E-2</v>
      </c>
      <c r="L163" s="12">
        <f t="shared" si="4"/>
        <v>5.3819999999999997</v>
      </c>
      <c r="M163" s="3">
        <f>SUMIFS(ledger!$E$2:$E$548, ledger!$C$2:$C$548, B163, ledger!$I$2:$I$548, G163)</f>
        <v>598</v>
      </c>
      <c r="N163" s="3" t="str">
        <f t="shared" si="5"/>
        <v>Standard</v>
      </c>
    </row>
    <row r="164" spans="1:14" x14ac:dyDescent="0.3">
      <c r="A164" s="3" t="str">
        <f>ledger!A164</f>
        <v>TXN100162</v>
      </c>
      <c r="B164" s="3">
        <f>ledger!C164</f>
        <v>26</v>
      </c>
      <c r="C164" s="4" t="str">
        <f>IFERROR(VLOOKUP(B164, merchants!$A$2:$D$41, 2, FALSE), "Merchant not found")</f>
        <v>Merchant_026</v>
      </c>
      <c r="D164" s="3" t="str">
        <f>IFERROR(VLOOKUP(B164, merchants!$A$2:$D$41, 3, FALSE), "Merchant not found")</f>
        <v>food_delivery</v>
      </c>
      <c r="E164" s="3" t="str">
        <f>IFERROR(VLOOKUP(B164, merchants!$A$2:$D$41, 4, FALSE), "Merchant not found")</f>
        <v>East</v>
      </c>
      <c r="F164" s="4">
        <f>ledger!D164</f>
        <v>46025.2</v>
      </c>
      <c r="G164" s="5">
        <f>ledger!I164</f>
        <v>46025</v>
      </c>
      <c r="H164" s="3">
        <f>ledger!E164</f>
        <v>99</v>
      </c>
      <c r="I164" s="3" t="str">
        <f>ledger!F164</f>
        <v>Netbanking</v>
      </c>
      <c r="J164" s="3" t="str">
        <f>ledger!G164</f>
        <v>captured</v>
      </c>
      <c r="K164" s="9">
        <f>HLOOKUP(I164,Fee!$B$1:$E$2,2,FALSE())</f>
        <v>1.7999999999999999E-2</v>
      </c>
      <c r="L164" s="12">
        <f t="shared" si="4"/>
        <v>1.7819999999999998</v>
      </c>
      <c r="M164" s="3">
        <f>SUMIFS(ledger!$E$2:$E$548, ledger!$C$2:$C$548, B164, ledger!$I$2:$I$548, G164)</f>
        <v>99</v>
      </c>
      <c r="N164" s="3" t="str">
        <f t="shared" si="5"/>
        <v>Standard</v>
      </c>
    </row>
    <row r="165" spans="1:14" x14ac:dyDescent="0.3">
      <c r="A165" s="3" t="str">
        <f>ledger!A165</f>
        <v>TXN100163</v>
      </c>
      <c r="B165" s="3">
        <f>ledger!C165</f>
        <v>1</v>
      </c>
      <c r="C165" s="4" t="str">
        <f>IFERROR(VLOOKUP(B165, merchants!$A$2:$D$41, 2, FALSE), "Merchant not found")</f>
        <v>Merchant_001</v>
      </c>
      <c r="D165" s="3" t="str">
        <f>IFERROR(VLOOKUP(B165, merchants!$A$2:$D$41, 3, FALSE), "Merchant not found")</f>
        <v>ecommerce</v>
      </c>
      <c r="E165" s="3" t="str">
        <f>IFERROR(VLOOKUP(B165, merchants!$A$2:$D$41, 4, FALSE), "Merchant not found")</f>
        <v>South</v>
      </c>
      <c r="F165" s="4">
        <f>ledger!D165</f>
        <v>46034.118055555555</v>
      </c>
      <c r="G165" s="5">
        <f>ledger!I165</f>
        <v>46034</v>
      </c>
      <c r="H165" s="3">
        <f>ledger!E165</f>
        <v>149</v>
      </c>
      <c r="I165" s="3" t="str">
        <f>ledger!F165</f>
        <v>Wallet</v>
      </c>
      <c r="J165" s="3" t="str">
        <f>ledger!G165</f>
        <v>captured</v>
      </c>
      <c r="K165" s="9">
        <f>HLOOKUP(I165,Fee!$B$1:$E$2,2,FALSE())</f>
        <v>1.4999999999999999E-2</v>
      </c>
      <c r="L165" s="12">
        <f t="shared" si="4"/>
        <v>2.2349999999999999</v>
      </c>
      <c r="M165" s="3">
        <f>SUMIFS(ledger!$E$2:$E$548, ledger!$C$2:$C$548, B165, ledger!$I$2:$I$548, G165)</f>
        <v>149</v>
      </c>
      <c r="N165" s="3" t="str">
        <f t="shared" si="5"/>
        <v>Standard</v>
      </c>
    </row>
    <row r="166" spans="1:14" x14ac:dyDescent="0.3">
      <c r="A166" s="3" t="str">
        <f>ledger!A166</f>
        <v>TXN100164</v>
      </c>
      <c r="B166" s="3">
        <f>ledger!C166</f>
        <v>17</v>
      </c>
      <c r="C166" s="4" t="str">
        <f>IFERROR(VLOOKUP(B166, merchants!$A$2:$D$41, 2, FALSE), "Merchant not found")</f>
        <v>Merchant_017</v>
      </c>
      <c r="D166" s="3" t="str">
        <f>IFERROR(VLOOKUP(B166, merchants!$A$2:$D$41, 3, FALSE), "Merchant not found")</f>
        <v>grocery</v>
      </c>
      <c r="E166" s="3" t="str">
        <f>IFERROR(VLOOKUP(B166, merchants!$A$2:$D$41, 4, FALSE), "Merchant not found")</f>
        <v>North</v>
      </c>
      <c r="F166" s="4">
        <f>ledger!D166</f>
        <v>46040.145138888889</v>
      </c>
      <c r="G166" s="5">
        <f>ledger!I166</f>
        <v>46040</v>
      </c>
      <c r="H166" s="3">
        <f>ledger!E166</f>
        <v>99</v>
      </c>
      <c r="I166" s="3" t="str">
        <f>ledger!F166</f>
        <v>UPI</v>
      </c>
      <c r="J166" s="3" t="str">
        <f>ledger!G166</f>
        <v>captured</v>
      </c>
      <c r="K166" s="9">
        <f>HLOOKUP(I166,Fee!$B$1:$E$2,2,FALSE())</f>
        <v>5.0000000000000001E-3</v>
      </c>
      <c r="L166" s="12">
        <f t="shared" si="4"/>
        <v>0.495</v>
      </c>
      <c r="M166" s="3">
        <f>SUMIFS(ledger!$E$2:$E$548, ledger!$C$2:$C$548, B166, ledger!$I$2:$I$548, G166)</f>
        <v>198</v>
      </c>
      <c r="N166" s="3" t="str">
        <f t="shared" si="5"/>
        <v>Standard</v>
      </c>
    </row>
    <row r="167" spans="1:14" x14ac:dyDescent="0.3">
      <c r="A167" s="3" t="str">
        <f>ledger!A167</f>
        <v>TXN100165</v>
      </c>
      <c r="B167" s="3">
        <f>ledger!C167</f>
        <v>15</v>
      </c>
      <c r="C167" s="4" t="str">
        <f>IFERROR(VLOOKUP(B167, merchants!$A$2:$D$41, 2, FALSE), "Merchant not found")</f>
        <v>Merchant_015</v>
      </c>
      <c r="D167" s="3" t="str">
        <f>IFERROR(VLOOKUP(B167, merchants!$A$2:$D$41, 3, FALSE), "Merchant not found")</f>
        <v>travel</v>
      </c>
      <c r="E167" s="3" t="str">
        <f>IFERROR(VLOOKUP(B167, merchants!$A$2:$D$41, 4, FALSE), "Merchant not found")</f>
        <v>North</v>
      </c>
      <c r="F167" s="4">
        <f>ledger!D167</f>
        <v>46035.849305555559</v>
      </c>
      <c r="G167" s="5">
        <f>ledger!I167</f>
        <v>46035</v>
      </c>
      <c r="H167" s="3">
        <f>ledger!E167</f>
        <v>299</v>
      </c>
      <c r="I167" s="3" t="str">
        <f>ledger!F167</f>
        <v>UPI</v>
      </c>
      <c r="J167" s="3" t="str">
        <f>ledger!G167</f>
        <v>captured</v>
      </c>
      <c r="K167" s="9">
        <f>HLOOKUP(I167,Fee!$B$1:$E$2,2,FALSE())</f>
        <v>5.0000000000000001E-3</v>
      </c>
      <c r="L167" s="12">
        <f t="shared" si="4"/>
        <v>1.4950000000000001</v>
      </c>
      <c r="M167" s="3">
        <f>SUMIFS(ledger!$E$2:$E$548, ledger!$C$2:$C$548, B167, ledger!$I$2:$I$548, G167)</f>
        <v>299</v>
      </c>
      <c r="N167" s="3" t="str">
        <f t="shared" si="5"/>
        <v>Standard</v>
      </c>
    </row>
    <row r="168" spans="1:14" x14ac:dyDescent="0.3">
      <c r="A168" s="3" t="str">
        <f>ledger!A168</f>
        <v>TXN100166</v>
      </c>
      <c r="B168" s="3">
        <f>ledger!C168</f>
        <v>21</v>
      </c>
      <c r="C168" s="4" t="str">
        <f>IFERROR(VLOOKUP(B168, merchants!$A$2:$D$41, 2, FALSE), "Merchant not found")</f>
        <v>Merchant_021</v>
      </c>
      <c r="D168" s="3" t="str">
        <f>IFERROR(VLOOKUP(B168, merchants!$A$2:$D$41, 3, FALSE), "Merchant not found")</f>
        <v>food_delivery</v>
      </c>
      <c r="E168" s="3" t="str">
        <f>IFERROR(VLOOKUP(B168, merchants!$A$2:$D$41, 4, FALSE), "Merchant not found")</f>
        <v>East</v>
      </c>
      <c r="F168" s="4">
        <f>ledger!D168</f>
        <v>46023.830555555556</v>
      </c>
      <c r="G168" s="5">
        <f>ledger!I168</f>
        <v>46023</v>
      </c>
      <c r="H168" s="3">
        <f>ledger!E168</f>
        <v>4999</v>
      </c>
      <c r="I168" s="3" t="str">
        <f>ledger!F168</f>
        <v>Wallet</v>
      </c>
      <c r="J168" s="3" t="str">
        <f>ledger!G168</f>
        <v>failed</v>
      </c>
      <c r="K168" s="9">
        <f>HLOOKUP(I168,Fee!$B$1:$E$2,2,FALSE())</f>
        <v>1.4999999999999999E-2</v>
      </c>
      <c r="L168" s="12">
        <f t="shared" si="4"/>
        <v>74.984999999999999</v>
      </c>
      <c r="M168" s="3">
        <f>SUMIFS(ledger!$E$2:$E$548, ledger!$C$2:$C$548, B168, ledger!$I$2:$I$548, G168)</f>
        <v>5298</v>
      </c>
      <c r="N168" s="3" t="str">
        <f t="shared" si="5"/>
        <v>Standard</v>
      </c>
    </row>
    <row r="169" spans="1:14" x14ac:dyDescent="0.3">
      <c r="A169" s="3" t="str">
        <f>ledger!A169</f>
        <v>TXN100167</v>
      </c>
      <c r="B169" s="3">
        <f>ledger!C169</f>
        <v>30</v>
      </c>
      <c r="C169" s="4" t="str">
        <f>IFERROR(VLOOKUP(B169, merchants!$A$2:$D$41, 2, FALSE), "Merchant not found")</f>
        <v>Merchant_030</v>
      </c>
      <c r="D169" s="3" t="str">
        <f>IFERROR(VLOOKUP(B169, merchants!$A$2:$D$41, 3, FALSE), "Merchant not found")</f>
        <v>travel</v>
      </c>
      <c r="E169" s="3" t="str">
        <f>IFERROR(VLOOKUP(B169, merchants!$A$2:$D$41, 4, FALSE), "Merchant not found")</f>
        <v>West</v>
      </c>
      <c r="F169" s="4">
        <f>ledger!D169</f>
        <v>46030.836111111108</v>
      </c>
      <c r="G169" s="5">
        <f>ledger!I169</f>
        <v>46030</v>
      </c>
      <c r="H169" s="3">
        <f>ledger!E169</f>
        <v>99</v>
      </c>
      <c r="I169" s="3" t="str">
        <f>ledger!F169</f>
        <v>Card</v>
      </c>
      <c r="J169" s="3" t="str">
        <f>ledger!G169</f>
        <v>captured</v>
      </c>
      <c r="K169" s="9">
        <f>HLOOKUP(I169,Fee!$B$1:$E$2,2,FALSE())</f>
        <v>0.02</v>
      </c>
      <c r="L169" s="12">
        <f t="shared" si="4"/>
        <v>1.98</v>
      </c>
      <c r="M169" s="3">
        <f>SUMIFS(ledger!$E$2:$E$548, ledger!$C$2:$C$548, B169, ledger!$I$2:$I$548, G169)</f>
        <v>1197</v>
      </c>
      <c r="N169" s="3" t="str">
        <f t="shared" si="5"/>
        <v>Standard</v>
      </c>
    </row>
    <row r="170" spans="1:14" x14ac:dyDescent="0.3">
      <c r="A170" s="3" t="str">
        <f>ledger!A170</f>
        <v>TXN100168</v>
      </c>
      <c r="B170" s="3">
        <f>ledger!C170</f>
        <v>9</v>
      </c>
      <c r="C170" s="4" t="str">
        <f>IFERROR(VLOOKUP(B170, merchants!$A$2:$D$41, 2, FALSE), "Merchant not found")</f>
        <v>Merchant_009</v>
      </c>
      <c r="D170" s="3" t="str">
        <f>IFERROR(VLOOKUP(B170, merchants!$A$2:$D$41, 3, FALSE), "Merchant not found")</f>
        <v>ecommerce</v>
      </c>
      <c r="E170" s="3" t="str">
        <f>IFERROR(VLOOKUP(B170, merchants!$A$2:$D$41, 4, FALSE), "Merchant not found")</f>
        <v>North</v>
      </c>
      <c r="F170" s="4">
        <f>ledger!D170</f>
        <v>46032.851388888892</v>
      </c>
      <c r="G170" s="5">
        <f>ledger!I170</f>
        <v>46032</v>
      </c>
      <c r="H170" s="3">
        <f>ledger!E170</f>
        <v>49</v>
      </c>
      <c r="I170" s="3" t="str">
        <f>ledger!F170</f>
        <v>Netbanking</v>
      </c>
      <c r="J170" s="3" t="str">
        <f>ledger!G170</f>
        <v>captured</v>
      </c>
      <c r="K170" s="9">
        <f>HLOOKUP(I170,Fee!$B$1:$E$2,2,FALSE())</f>
        <v>1.7999999999999999E-2</v>
      </c>
      <c r="L170" s="12">
        <f t="shared" si="4"/>
        <v>0.8819999999999999</v>
      </c>
      <c r="M170" s="3">
        <f>SUMIFS(ledger!$E$2:$E$548, ledger!$C$2:$C$548, B170, ledger!$I$2:$I$548, G170)</f>
        <v>49</v>
      </c>
      <c r="N170" s="3" t="str">
        <f t="shared" si="5"/>
        <v>Standard</v>
      </c>
    </row>
    <row r="171" spans="1:14" x14ac:dyDescent="0.3">
      <c r="A171" s="3" t="str">
        <f>ledger!A171</f>
        <v>TXN100169</v>
      </c>
      <c r="B171" s="3">
        <f>ledger!C171</f>
        <v>7</v>
      </c>
      <c r="C171" s="4" t="str">
        <f>IFERROR(VLOOKUP(B171, merchants!$A$2:$D$41, 2, FALSE), "Merchant not found")</f>
        <v>Merchant_007</v>
      </c>
      <c r="D171" s="3" t="str">
        <f>IFERROR(VLOOKUP(B171, merchants!$A$2:$D$41, 3, FALSE), "Merchant not found")</f>
        <v>food_delivery</v>
      </c>
      <c r="E171" s="3" t="str">
        <f>IFERROR(VLOOKUP(B171, merchants!$A$2:$D$41, 4, FALSE), "Merchant not found")</f>
        <v>East</v>
      </c>
      <c r="F171" s="4">
        <f>ledger!D171</f>
        <v>46024.396527777775</v>
      </c>
      <c r="G171" s="5">
        <f>ledger!I171</f>
        <v>46024</v>
      </c>
      <c r="H171" s="3">
        <f>ledger!E171</f>
        <v>2999</v>
      </c>
      <c r="I171" s="3" t="str">
        <f>ledger!F171</f>
        <v>Wallet</v>
      </c>
      <c r="J171" s="3" t="str">
        <f>ledger!G171</f>
        <v>captured</v>
      </c>
      <c r="K171" s="9">
        <f>HLOOKUP(I171,Fee!$B$1:$E$2,2,FALSE())</f>
        <v>1.4999999999999999E-2</v>
      </c>
      <c r="L171" s="12">
        <f t="shared" si="4"/>
        <v>44.984999999999999</v>
      </c>
      <c r="M171" s="3">
        <f>SUMIFS(ledger!$E$2:$E$548, ledger!$C$2:$C$548, B171, ledger!$I$2:$I$548, G171)</f>
        <v>3797</v>
      </c>
      <c r="N171" s="3" t="str">
        <f t="shared" si="5"/>
        <v>Standard</v>
      </c>
    </row>
    <row r="172" spans="1:14" x14ac:dyDescent="0.3">
      <c r="A172" s="3" t="str">
        <f>ledger!A172</f>
        <v>TXN100170</v>
      </c>
      <c r="B172" s="3">
        <f>ledger!C172</f>
        <v>30</v>
      </c>
      <c r="C172" s="4" t="str">
        <f>IFERROR(VLOOKUP(B172, merchants!$A$2:$D$41, 2, FALSE), "Merchant not found")</f>
        <v>Merchant_030</v>
      </c>
      <c r="D172" s="3" t="str">
        <f>IFERROR(VLOOKUP(B172, merchants!$A$2:$D$41, 3, FALSE), "Merchant not found")</f>
        <v>travel</v>
      </c>
      <c r="E172" s="3" t="str">
        <f>IFERROR(VLOOKUP(B172, merchants!$A$2:$D$41, 4, FALSE), "Merchant not found")</f>
        <v>West</v>
      </c>
      <c r="F172" s="4">
        <f>ledger!D172</f>
        <v>46051.713888888888</v>
      </c>
      <c r="G172" s="5">
        <f>ledger!I172</f>
        <v>46051</v>
      </c>
      <c r="H172" s="3">
        <f>ledger!E172</f>
        <v>149</v>
      </c>
      <c r="I172" s="3" t="str">
        <f>ledger!F172</f>
        <v>Netbanking</v>
      </c>
      <c r="J172" s="3" t="str">
        <f>ledger!G172</f>
        <v>captured</v>
      </c>
      <c r="K172" s="9">
        <f>HLOOKUP(I172,Fee!$B$1:$E$2,2,FALSE())</f>
        <v>1.7999999999999999E-2</v>
      </c>
      <c r="L172" s="12">
        <f t="shared" si="4"/>
        <v>2.6819999999999999</v>
      </c>
      <c r="M172" s="3">
        <f>SUMIFS(ledger!$E$2:$E$548, ledger!$C$2:$C$548, B172, ledger!$I$2:$I$548, G172)</f>
        <v>149</v>
      </c>
      <c r="N172" s="3" t="str">
        <f t="shared" si="5"/>
        <v>Standard</v>
      </c>
    </row>
    <row r="173" spans="1:14" x14ac:dyDescent="0.3">
      <c r="A173" s="3" t="str">
        <f>ledger!A173</f>
        <v>TXN100171</v>
      </c>
      <c r="B173" s="3">
        <f>ledger!C173</f>
        <v>27</v>
      </c>
      <c r="C173" s="4" t="str">
        <f>IFERROR(VLOOKUP(B173, merchants!$A$2:$D$41, 2, FALSE), "Merchant not found")</f>
        <v>Merchant_027</v>
      </c>
      <c r="D173" s="3" t="str">
        <f>IFERROR(VLOOKUP(B173, merchants!$A$2:$D$41, 3, FALSE), "Merchant not found")</f>
        <v>ecommerce</v>
      </c>
      <c r="E173" s="3" t="str">
        <f>IFERROR(VLOOKUP(B173, merchants!$A$2:$D$41, 4, FALSE), "Merchant not found")</f>
        <v>North</v>
      </c>
      <c r="F173" s="4">
        <f>ledger!D173</f>
        <v>46044.988888888889</v>
      </c>
      <c r="G173" s="5">
        <f>ledger!I173</f>
        <v>46044</v>
      </c>
      <c r="H173" s="3">
        <f>ledger!E173</f>
        <v>49</v>
      </c>
      <c r="I173" s="3" t="str">
        <f>ledger!F173</f>
        <v>UPI</v>
      </c>
      <c r="J173" s="3" t="str">
        <f>ledger!G173</f>
        <v>captured</v>
      </c>
      <c r="K173" s="9">
        <f>HLOOKUP(I173,Fee!$B$1:$E$2,2,FALSE())</f>
        <v>5.0000000000000001E-3</v>
      </c>
      <c r="L173" s="12">
        <f t="shared" si="4"/>
        <v>0.245</v>
      </c>
      <c r="M173" s="3">
        <f>SUMIFS(ledger!$E$2:$E$548, ledger!$C$2:$C$548, B173, ledger!$I$2:$I$548, G173)</f>
        <v>49</v>
      </c>
      <c r="N173" s="3" t="str">
        <f t="shared" si="5"/>
        <v>Standard</v>
      </c>
    </row>
    <row r="174" spans="1:14" x14ac:dyDescent="0.3">
      <c r="A174" s="3" t="str">
        <f>ledger!A174</f>
        <v>TXN100172</v>
      </c>
      <c r="B174" s="3">
        <f>ledger!C174</f>
        <v>7</v>
      </c>
      <c r="C174" s="4" t="str">
        <f>IFERROR(VLOOKUP(B174, merchants!$A$2:$D$41, 2, FALSE), "Merchant not found")</f>
        <v>Merchant_007</v>
      </c>
      <c r="D174" s="3" t="str">
        <f>IFERROR(VLOOKUP(B174, merchants!$A$2:$D$41, 3, FALSE), "Merchant not found")</f>
        <v>food_delivery</v>
      </c>
      <c r="E174" s="3" t="str">
        <f>IFERROR(VLOOKUP(B174, merchants!$A$2:$D$41, 4, FALSE), "Merchant not found")</f>
        <v>East</v>
      </c>
      <c r="F174" s="4">
        <f>ledger!D174</f>
        <v>46046.964583333334</v>
      </c>
      <c r="G174" s="5">
        <f>ledger!I174</f>
        <v>46046</v>
      </c>
      <c r="H174" s="3">
        <f>ledger!E174</f>
        <v>799</v>
      </c>
      <c r="I174" s="3" t="str">
        <f>ledger!F174</f>
        <v>Netbanking</v>
      </c>
      <c r="J174" s="3" t="str">
        <f>ledger!G174</f>
        <v>captured</v>
      </c>
      <c r="K174" s="9">
        <f>HLOOKUP(I174,Fee!$B$1:$E$2,2,FALSE())</f>
        <v>1.7999999999999999E-2</v>
      </c>
      <c r="L174" s="12">
        <f t="shared" si="4"/>
        <v>14.382</v>
      </c>
      <c r="M174" s="3">
        <f>SUMIFS(ledger!$E$2:$E$548, ledger!$C$2:$C$548, B174, ledger!$I$2:$I$548, G174)</f>
        <v>1298</v>
      </c>
      <c r="N174" s="3" t="str">
        <f t="shared" si="5"/>
        <v>Standard</v>
      </c>
    </row>
    <row r="175" spans="1:14" x14ac:dyDescent="0.3">
      <c r="A175" s="3" t="str">
        <f>ledger!A175</f>
        <v>TXN100173</v>
      </c>
      <c r="B175" s="3">
        <f>ledger!C175</f>
        <v>24</v>
      </c>
      <c r="C175" s="4" t="str">
        <f>IFERROR(VLOOKUP(B175, merchants!$A$2:$D$41, 2, FALSE), "Merchant not found")</f>
        <v>Merchant_024</v>
      </c>
      <c r="D175" s="3" t="str">
        <f>IFERROR(VLOOKUP(B175, merchants!$A$2:$D$41, 3, FALSE), "Merchant not found")</f>
        <v>grocery</v>
      </c>
      <c r="E175" s="3" t="str">
        <f>IFERROR(VLOOKUP(B175, merchants!$A$2:$D$41, 4, FALSE), "Merchant not found")</f>
        <v>North</v>
      </c>
      <c r="F175" s="4">
        <f>ledger!D175</f>
        <v>46042.553472222222</v>
      </c>
      <c r="G175" s="5">
        <f>ledger!I175</f>
        <v>46042</v>
      </c>
      <c r="H175" s="3">
        <f>ledger!E175</f>
        <v>299</v>
      </c>
      <c r="I175" s="3" t="str">
        <f>ledger!F175</f>
        <v>UPI</v>
      </c>
      <c r="J175" s="3" t="str">
        <f>ledger!G175</f>
        <v>captured</v>
      </c>
      <c r="K175" s="9">
        <f>HLOOKUP(I175,Fee!$B$1:$E$2,2,FALSE())</f>
        <v>5.0000000000000001E-3</v>
      </c>
      <c r="L175" s="12">
        <f t="shared" si="4"/>
        <v>1.4950000000000001</v>
      </c>
      <c r="M175" s="3">
        <f>SUMIFS(ledger!$E$2:$E$548, ledger!$C$2:$C$548, B175, ledger!$I$2:$I$548, G175)</f>
        <v>299</v>
      </c>
      <c r="N175" s="3" t="str">
        <f t="shared" si="5"/>
        <v>Standard</v>
      </c>
    </row>
    <row r="176" spans="1:14" x14ac:dyDescent="0.3">
      <c r="A176" s="3" t="str">
        <f>ledger!A176</f>
        <v>TXN100174</v>
      </c>
      <c r="B176" s="3">
        <f>ledger!C176</f>
        <v>7</v>
      </c>
      <c r="C176" s="4" t="str">
        <f>IFERROR(VLOOKUP(B176, merchants!$A$2:$D$41, 2, FALSE), "Merchant not found")</f>
        <v>Merchant_007</v>
      </c>
      <c r="D176" s="3" t="str">
        <f>IFERROR(VLOOKUP(B176, merchants!$A$2:$D$41, 3, FALSE), "Merchant not found")</f>
        <v>food_delivery</v>
      </c>
      <c r="E176" s="3" t="str">
        <f>IFERROR(VLOOKUP(B176, merchants!$A$2:$D$41, 4, FALSE), "Merchant not found")</f>
        <v>East</v>
      </c>
      <c r="F176" s="4">
        <f>ledger!D176</f>
        <v>46037.59375</v>
      </c>
      <c r="G176" s="5">
        <f>ledger!I176</f>
        <v>46037</v>
      </c>
      <c r="H176" s="3">
        <f>ledger!E176</f>
        <v>1499</v>
      </c>
      <c r="I176" s="3" t="str">
        <f>ledger!F176</f>
        <v>Card</v>
      </c>
      <c r="J176" s="3" t="str">
        <f>ledger!G176</f>
        <v>failed</v>
      </c>
      <c r="K176" s="9">
        <f>HLOOKUP(I176,Fee!$B$1:$E$2,2,FALSE())</f>
        <v>0.02</v>
      </c>
      <c r="L176" s="12">
        <f t="shared" si="4"/>
        <v>29.98</v>
      </c>
      <c r="M176" s="3">
        <f>SUMIFS(ledger!$E$2:$E$548, ledger!$C$2:$C$548, B176, ledger!$I$2:$I$548, G176)</f>
        <v>1648</v>
      </c>
      <c r="N176" s="3" t="str">
        <f t="shared" si="5"/>
        <v>Standard</v>
      </c>
    </row>
    <row r="177" spans="1:14" x14ac:dyDescent="0.3">
      <c r="A177" s="3" t="str">
        <f>ledger!A177</f>
        <v>TXN100175</v>
      </c>
      <c r="B177" s="3">
        <f>ledger!C177</f>
        <v>23</v>
      </c>
      <c r="C177" s="4" t="str">
        <f>IFERROR(VLOOKUP(B177, merchants!$A$2:$D$41, 2, FALSE), "Merchant not found")</f>
        <v>Merchant_023</v>
      </c>
      <c r="D177" s="3" t="str">
        <f>IFERROR(VLOOKUP(B177, merchants!$A$2:$D$41, 3, FALSE), "Merchant not found")</f>
        <v>travel</v>
      </c>
      <c r="E177" s="3" t="str">
        <f>IFERROR(VLOOKUP(B177, merchants!$A$2:$D$41, 4, FALSE), "Merchant not found")</f>
        <v>North</v>
      </c>
      <c r="F177" s="4">
        <f>ledger!D177</f>
        <v>46034.747916666667</v>
      </c>
      <c r="G177" s="5">
        <f>ledger!I177</f>
        <v>46034</v>
      </c>
      <c r="H177" s="3">
        <f>ledger!E177</f>
        <v>149</v>
      </c>
      <c r="I177" s="3" t="str">
        <f>ledger!F177</f>
        <v>UPI</v>
      </c>
      <c r="J177" s="3" t="str">
        <f>ledger!G177</f>
        <v>captured</v>
      </c>
      <c r="K177" s="9">
        <f>HLOOKUP(I177,Fee!$B$1:$E$2,2,FALSE())</f>
        <v>5.0000000000000001E-3</v>
      </c>
      <c r="L177" s="12">
        <f t="shared" si="4"/>
        <v>0.745</v>
      </c>
      <c r="M177" s="3">
        <f>SUMIFS(ledger!$E$2:$E$548, ledger!$C$2:$C$548, B177, ledger!$I$2:$I$548, G177)</f>
        <v>149</v>
      </c>
      <c r="N177" s="3" t="str">
        <f t="shared" si="5"/>
        <v>Standard</v>
      </c>
    </row>
    <row r="178" spans="1:14" x14ac:dyDescent="0.3">
      <c r="A178" s="3" t="str">
        <f>ledger!A178</f>
        <v>TXN100176</v>
      </c>
      <c r="B178" s="3">
        <f>ledger!C178</f>
        <v>30</v>
      </c>
      <c r="C178" s="4" t="str">
        <f>IFERROR(VLOOKUP(B178, merchants!$A$2:$D$41, 2, FALSE), "Merchant not found")</f>
        <v>Merchant_030</v>
      </c>
      <c r="D178" s="3" t="str">
        <f>IFERROR(VLOOKUP(B178, merchants!$A$2:$D$41, 3, FALSE), "Merchant not found")</f>
        <v>travel</v>
      </c>
      <c r="E178" s="3" t="str">
        <f>IFERROR(VLOOKUP(B178, merchants!$A$2:$D$41, 4, FALSE), "Merchant not found")</f>
        <v>West</v>
      </c>
      <c r="F178" s="4">
        <f>ledger!D178</f>
        <v>46035.341666666667</v>
      </c>
      <c r="G178" s="5">
        <f>ledger!I178</f>
        <v>46035</v>
      </c>
      <c r="H178" s="3">
        <f>ledger!E178</f>
        <v>1499</v>
      </c>
      <c r="I178" s="3" t="str">
        <f>ledger!F178</f>
        <v>Card</v>
      </c>
      <c r="J178" s="3" t="str">
        <f>ledger!G178</f>
        <v>captured</v>
      </c>
      <c r="K178" s="9">
        <f>HLOOKUP(I178,Fee!$B$1:$E$2,2,FALSE())</f>
        <v>0.02</v>
      </c>
      <c r="L178" s="12">
        <f t="shared" si="4"/>
        <v>29.98</v>
      </c>
      <c r="M178" s="3">
        <f>SUMIFS(ledger!$E$2:$E$548, ledger!$C$2:$C$548, B178, ledger!$I$2:$I$548, G178)</f>
        <v>1499</v>
      </c>
      <c r="N178" s="3" t="str">
        <f t="shared" si="5"/>
        <v>Standard</v>
      </c>
    </row>
    <row r="179" spans="1:14" x14ac:dyDescent="0.3">
      <c r="A179" s="3" t="str">
        <f>ledger!A179</f>
        <v>TXN100177</v>
      </c>
      <c r="B179" s="3">
        <f>ledger!C179</f>
        <v>39</v>
      </c>
      <c r="C179" s="4" t="str">
        <f>IFERROR(VLOOKUP(B179, merchants!$A$2:$D$41, 2, FALSE), "Merchant not found")</f>
        <v>Merchant_039</v>
      </c>
      <c r="D179" s="3" t="str">
        <f>IFERROR(VLOOKUP(B179, merchants!$A$2:$D$41, 3, FALSE), "Merchant not found")</f>
        <v>entertainment</v>
      </c>
      <c r="E179" s="3" t="str">
        <f>IFERROR(VLOOKUP(B179, merchants!$A$2:$D$41, 4, FALSE), "Merchant not found")</f>
        <v>North</v>
      </c>
      <c r="F179" s="4">
        <f>ledger!D179</f>
        <v>46044.27847222222</v>
      </c>
      <c r="G179" s="5">
        <f>ledger!I179</f>
        <v>46044</v>
      </c>
      <c r="H179" s="3">
        <f>ledger!E179</f>
        <v>4999</v>
      </c>
      <c r="I179" s="3" t="str">
        <f>ledger!F179</f>
        <v>Wallet</v>
      </c>
      <c r="J179" s="3" t="str">
        <f>ledger!G179</f>
        <v>chargeback</v>
      </c>
      <c r="K179" s="9">
        <f>HLOOKUP(I179,Fee!$B$1:$E$2,2,FALSE())</f>
        <v>1.4999999999999999E-2</v>
      </c>
      <c r="L179" s="12">
        <f t="shared" si="4"/>
        <v>74.984999999999999</v>
      </c>
      <c r="M179" s="3">
        <f>SUMIFS(ledger!$E$2:$E$548, ledger!$C$2:$C$548, B179, ledger!$I$2:$I$548, G179)</f>
        <v>9796</v>
      </c>
      <c r="N179" s="3" t="str">
        <f t="shared" si="5"/>
        <v>High Value</v>
      </c>
    </row>
    <row r="180" spans="1:14" x14ac:dyDescent="0.3">
      <c r="A180" s="3" t="str">
        <f>ledger!A180</f>
        <v>TXN100178</v>
      </c>
      <c r="B180" s="3">
        <f>ledger!C180</f>
        <v>37</v>
      </c>
      <c r="C180" s="4" t="str">
        <f>IFERROR(VLOOKUP(B180, merchants!$A$2:$D$41, 2, FALSE), "Merchant not found")</f>
        <v>Merchant_037</v>
      </c>
      <c r="D180" s="3" t="str">
        <f>IFERROR(VLOOKUP(B180, merchants!$A$2:$D$41, 3, FALSE), "Merchant not found")</f>
        <v>entertainment</v>
      </c>
      <c r="E180" s="3" t="str">
        <f>IFERROR(VLOOKUP(B180, merchants!$A$2:$D$41, 4, FALSE), "Merchant not found")</f>
        <v>South</v>
      </c>
      <c r="F180" s="4">
        <f>ledger!D180</f>
        <v>46024.427083333336</v>
      </c>
      <c r="G180" s="5">
        <f>ledger!I180</f>
        <v>46024</v>
      </c>
      <c r="H180" s="3">
        <f>ledger!E180</f>
        <v>2999</v>
      </c>
      <c r="I180" s="3" t="str">
        <f>ledger!F180</f>
        <v>Card</v>
      </c>
      <c r="J180" s="3" t="str">
        <f>ledger!G180</f>
        <v>captured</v>
      </c>
      <c r="K180" s="9">
        <f>HLOOKUP(I180,Fee!$B$1:$E$2,2,FALSE())</f>
        <v>0.02</v>
      </c>
      <c r="L180" s="12">
        <f t="shared" si="4"/>
        <v>59.980000000000004</v>
      </c>
      <c r="M180" s="3">
        <f>SUMIFS(ledger!$E$2:$E$548, ledger!$C$2:$C$548, B180, ledger!$I$2:$I$548, G180)</f>
        <v>2999</v>
      </c>
      <c r="N180" s="3" t="str">
        <f t="shared" si="5"/>
        <v>Standard</v>
      </c>
    </row>
    <row r="181" spans="1:14" x14ac:dyDescent="0.3">
      <c r="A181" s="3" t="str">
        <f>ledger!A181</f>
        <v>TXN100179</v>
      </c>
      <c r="B181" s="3">
        <f>ledger!C181</f>
        <v>14</v>
      </c>
      <c r="C181" s="4" t="str">
        <f>IFERROR(VLOOKUP(B181, merchants!$A$2:$D$41, 2, FALSE), "Merchant not found")</f>
        <v>Merchant_014</v>
      </c>
      <c r="D181" s="3" t="str">
        <f>IFERROR(VLOOKUP(B181, merchants!$A$2:$D$41, 3, FALSE), "Merchant not found")</f>
        <v>grocery</v>
      </c>
      <c r="E181" s="3" t="str">
        <f>IFERROR(VLOOKUP(B181, merchants!$A$2:$D$41, 4, FALSE), "Merchant not found")</f>
        <v>East</v>
      </c>
      <c r="F181" s="4">
        <f>ledger!D181</f>
        <v>46025.717361111114</v>
      </c>
      <c r="G181" s="5">
        <f>ledger!I181</f>
        <v>46025</v>
      </c>
      <c r="H181" s="3">
        <f>ledger!E181</f>
        <v>149</v>
      </c>
      <c r="I181" s="3" t="str">
        <f>ledger!F181</f>
        <v>UPI</v>
      </c>
      <c r="J181" s="3" t="str">
        <f>ledger!G181</f>
        <v>captured</v>
      </c>
      <c r="K181" s="9">
        <f>HLOOKUP(I181,Fee!$B$1:$E$2,2,FALSE())</f>
        <v>5.0000000000000001E-3</v>
      </c>
      <c r="L181" s="12">
        <f t="shared" si="4"/>
        <v>0.745</v>
      </c>
      <c r="M181" s="3">
        <f>SUMIFS(ledger!$E$2:$E$548, ledger!$C$2:$C$548, B181, ledger!$I$2:$I$548, G181)</f>
        <v>149</v>
      </c>
      <c r="N181" s="3" t="str">
        <f t="shared" si="5"/>
        <v>Standard</v>
      </c>
    </row>
    <row r="182" spans="1:14" x14ac:dyDescent="0.3">
      <c r="A182" s="3" t="str">
        <f>ledger!A182</f>
        <v>TXN100180</v>
      </c>
      <c r="B182" s="3">
        <f>ledger!C182</f>
        <v>1</v>
      </c>
      <c r="C182" s="4" t="str">
        <f>IFERROR(VLOOKUP(B182, merchants!$A$2:$D$41, 2, FALSE), "Merchant not found")</f>
        <v>Merchant_001</v>
      </c>
      <c r="D182" s="3" t="str">
        <f>IFERROR(VLOOKUP(B182, merchants!$A$2:$D$41, 3, FALSE), "Merchant not found")</f>
        <v>ecommerce</v>
      </c>
      <c r="E182" s="3" t="str">
        <f>IFERROR(VLOOKUP(B182, merchants!$A$2:$D$41, 4, FALSE), "Merchant not found")</f>
        <v>South</v>
      </c>
      <c r="F182" s="4">
        <f>ledger!D182</f>
        <v>46033.201388888891</v>
      </c>
      <c r="G182" s="5">
        <f>ledger!I182</f>
        <v>46033</v>
      </c>
      <c r="H182" s="3">
        <f>ledger!E182</f>
        <v>299</v>
      </c>
      <c r="I182" s="3" t="str">
        <f>ledger!F182</f>
        <v>UPI</v>
      </c>
      <c r="J182" s="3" t="str">
        <f>ledger!G182</f>
        <v>failed</v>
      </c>
      <c r="K182" s="9">
        <f>HLOOKUP(I182,Fee!$B$1:$E$2,2,FALSE())</f>
        <v>5.0000000000000001E-3</v>
      </c>
      <c r="L182" s="12">
        <f t="shared" si="4"/>
        <v>1.4950000000000001</v>
      </c>
      <c r="M182" s="3">
        <f>SUMIFS(ledger!$E$2:$E$548, ledger!$C$2:$C$548, B182, ledger!$I$2:$I$548, G182)</f>
        <v>299</v>
      </c>
      <c r="N182" s="3" t="str">
        <f t="shared" si="5"/>
        <v>Standard</v>
      </c>
    </row>
    <row r="183" spans="1:14" x14ac:dyDescent="0.3">
      <c r="A183" s="3" t="str">
        <f>ledger!A183</f>
        <v>TXN100181</v>
      </c>
      <c r="B183" s="3">
        <f>ledger!C183</f>
        <v>17</v>
      </c>
      <c r="C183" s="4" t="str">
        <f>IFERROR(VLOOKUP(B183, merchants!$A$2:$D$41, 2, FALSE), "Merchant not found")</f>
        <v>Merchant_017</v>
      </c>
      <c r="D183" s="3" t="str">
        <f>IFERROR(VLOOKUP(B183, merchants!$A$2:$D$41, 3, FALSE), "Merchant not found")</f>
        <v>grocery</v>
      </c>
      <c r="E183" s="3" t="str">
        <f>IFERROR(VLOOKUP(B183, merchants!$A$2:$D$41, 4, FALSE), "Merchant not found")</f>
        <v>North</v>
      </c>
      <c r="F183" s="4">
        <f>ledger!D183</f>
        <v>46050.172222222223</v>
      </c>
      <c r="G183" s="5">
        <f>ledger!I183</f>
        <v>46050</v>
      </c>
      <c r="H183" s="3">
        <f>ledger!E183</f>
        <v>299</v>
      </c>
      <c r="I183" s="3" t="str">
        <f>ledger!F183</f>
        <v>UPI</v>
      </c>
      <c r="J183" s="3" t="str">
        <f>ledger!G183</f>
        <v>captured</v>
      </c>
      <c r="K183" s="9">
        <f>HLOOKUP(I183,Fee!$B$1:$E$2,2,FALSE())</f>
        <v>5.0000000000000001E-3</v>
      </c>
      <c r="L183" s="12">
        <f t="shared" si="4"/>
        <v>1.4950000000000001</v>
      </c>
      <c r="M183" s="3">
        <f>SUMIFS(ledger!$E$2:$E$548, ledger!$C$2:$C$548, B183, ledger!$I$2:$I$548, G183)</f>
        <v>299</v>
      </c>
      <c r="N183" s="3" t="str">
        <f t="shared" si="5"/>
        <v>Standard</v>
      </c>
    </row>
    <row r="184" spans="1:14" x14ac:dyDescent="0.3">
      <c r="A184" s="3" t="str">
        <f>ledger!A184</f>
        <v>TXN100182</v>
      </c>
      <c r="B184" s="3">
        <f>ledger!C184</f>
        <v>9</v>
      </c>
      <c r="C184" s="4" t="str">
        <f>IFERROR(VLOOKUP(B184, merchants!$A$2:$D$41, 2, FALSE), "Merchant not found")</f>
        <v>Merchant_009</v>
      </c>
      <c r="D184" s="3" t="str">
        <f>IFERROR(VLOOKUP(B184, merchants!$A$2:$D$41, 3, FALSE), "Merchant not found")</f>
        <v>ecommerce</v>
      </c>
      <c r="E184" s="3" t="str">
        <f>IFERROR(VLOOKUP(B184, merchants!$A$2:$D$41, 4, FALSE), "Merchant not found")</f>
        <v>North</v>
      </c>
      <c r="F184" s="4">
        <f>ledger!D184</f>
        <v>46026.913194444445</v>
      </c>
      <c r="G184" s="5">
        <f>ledger!I184</f>
        <v>46026</v>
      </c>
      <c r="H184" s="3">
        <f>ledger!E184</f>
        <v>499</v>
      </c>
      <c r="I184" s="3" t="str">
        <f>ledger!F184</f>
        <v>UPI</v>
      </c>
      <c r="J184" s="3" t="str">
        <f>ledger!G184</f>
        <v>captured</v>
      </c>
      <c r="K184" s="9">
        <f>HLOOKUP(I184,Fee!$B$1:$E$2,2,FALSE())</f>
        <v>5.0000000000000001E-3</v>
      </c>
      <c r="L184" s="12">
        <f t="shared" si="4"/>
        <v>2.4950000000000001</v>
      </c>
      <c r="M184" s="3">
        <f>SUMIFS(ledger!$E$2:$E$548, ledger!$C$2:$C$548, B184, ledger!$I$2:$I$548, G184)</f>
        <v>499</v>
      </c>
      <c r="N184" s="3" t="str">
        <f t="shared" si="5"/>
        <v>Standard</v>
      </c>
    </row>
    <row r="185" spans="1:14" x14ac:dyDescent="0.3">
      <c r="A185" s="3" t="str">
        <f>ledger!A185</f>
        <v>TXN100183</v>
      </c>
      <c r="B185" s="3">
        <f>ledger!C185</f>
        <v>2</v>
      </c>
      <c r="C185" s="4" t="str">
        <f>IFERROR(VLOOKUP(B185, merchants!$A$2:$D$41, 2, FALSE), "Merchant not found")</f>
        <v>Merchant_002</v>
      </c>
      <c r="D185" s="3" t="str">
        <f>IFERROR(VLOOKUP(B185, merchants!$A$2:$D$41, 3, FALSE), "Merchant not found")</f>
        <v>grocery</v>
      </c>
      <c r="E185" s="3" t="str">
        <f>IFERROR(VLOOKUP(B185, merchants!$A$2:$D$41, 4, FALSE), "Merchant not found")</f>
        <v>West</v>
      </c>
      <c r="F185" s="4">
        <f>ledger!D185</f>
        <v>46034.317361111112</v>
      </c>
      <c r="G185" s="5">
        <f>ledger!I185</f>
        <v>46034</v>
      </c>
      <c r="H185" s="3">
        <f>ledger!E185</f>
        <v>299</v>
      </c>
      <c r="I185" s="3" t="str">
        <f>ledger!F185</f>
        <v>Card</v>
      </c>
      <c r="J185" s="3" t="str">
        <f>ledger!G185</f>
        <v>captured</v>
      </c>
      <c r="K185" s="9">
        <f>HLOOKUP(I185,Fee!$B$1:$E$2,2,FALSE())</f>
        <v>0.02</v>
      </c>
      <c r="L185" s="12">
        <f t="shared" si="4"/>
        <v>5.98</v>
      </c>
      <c r="M185" s="3">
        <f>SUMIFS(ledger!$E$2:$E$548, ledger!$C$2:$C$548, B185, ledger!$I$2:$I$548, G185)</f>
        <v>348</v>
      </c>
      <c r="N185" s="3" t="str">
        <f t="shared" si="5"/>
        <v>Standard</v>
      </c>
    </row>
    <row r="186" spans="1:14" x14ac:dyDescent="0.3">
      <c r="A186" s="3" t="str">
        <f>ledger!A186</f>
        <v>TXN100184</v>
      </c>
      <c r="B186" s="3">
        <f>ledger!C186</f>
        <v>34</v>
      </c>
      <c r="C186" s="4" t="str">
        <f>IFERROR(VLOOKUP(B186, merchants!$A$2:$D$41, 2, FALSE), "Merchant not found")</f>
        <v>Merchant_034</v>
      </c>
      <c r="D186" s="3" t="str">
        <f>IFERROR(VLOOKUP(B186, merchants!$A$2:$D$41, 3, FALSE), "Merchant not found")</f>
        <v>travel</v>
      </c>
      <c r="E186" s="3" t="str">
        <f>IFERROR(VLOOKUP(B186, merchants!$A$2:$D$41, 4, FALSE), "Merchant not found")</f>
        <v>South</v>
      </c>
      <c r="F186" s="4">
        <f>ledger!D186</f>
        <v>46031.047222222223</v>
      </c>
      <c r="G186" s="5">
        <f>ledger!I186</f>
        <v>46031</v>
      </c>
      <c r="H186" s="3">
        <f>ledger!E186</f>
        <v>299</v>
      </c>
      <c r="I186" s="3" t="str">
        <f>ledger!F186</f>
        <v>Card</v>
      </c>
      <c r="J186" s="3" t="str">
        <f>ledger!G186</f>
        <v>captured</v>
      </c>
      <c r="K186" s="9">
        <f>HLOOKUP(I186,Fee!$B$1:$E$2,2,FALSE())</f>
        <v>0.02</v>
      </c>
      <c r="L186" s="12">
        <f t="shared" si="4"/>
        <v>5.98</v>
      </c>
      <c r="M186" s="3">
        <f>SUMIFS(ledger!$E$2:$E$548, ledger!$C$2:$C$548, B186, ledger!$I$2:$I$548, G186)</f>
        <v>299</v>
      </c>
      <c r="N186" s="3" t="str">
        <f t="shared" si="5"/>
        <v>Standard</v>
      </c>
    </row>
    <row r="187" spans="1:14" x14ac:dyDescent="0.3">
      <c r="A187" s="3" t="str">
        <f>ledger!A187</f>
        <v>TXN100185</v>
      </c>
      <c r="B187" s="3">
        <f>ledger!C187</f>
        <v>24</v>
      </c>
      <c r="C187" s="4" t="str">
        <f>IFERROR(VLOOKUP(B187, merchants!$A$2:$D$41, 2, FALSE), "Merchant not found")</f>
        <v>Merchant_024</v>
      </c>
      <c r="D187" s="3" t="str">
        <f>IFERROR(VLOOKUP(B187, merchants!$A$2:$D$41, 3, FALSE), "Merchant not found")</f>
        <v>grocery</v>
      </c>
      <c r="E187" s="3" t="str">
        <f>IFERROR(VLOOKUP(B187, merchants!$A$2:$D$41, 4, FALSE), "Merchant not found")</f>
        <v>North</v>
      </c>
      <c r="F187" s="4">
        <f>ledger!D187</f>
        <v>46046.104166666664</v>
      </c>
      <c r="G187" s="5">
        <f>ledger!I187</f>
        <v>46046</v>
      </c>
      <c r="H187" s="3">
        <f>ledger!E187</f>
        <v>49</v>
      </c>
      <c r="I187" s="3" t="str">
        <f>ledger!F187</f>
        <v>UPI</v>
      </c>
      <c r="J187" s="3" t="str">
        <f>ledger!G187</f>
        <v>captured</v>
      </c>
      <c r="K187" s="9">
        <f>HLOOKUP(I187,Fee!$B$1:$E$2,2,FALSE())</f>
        <v>5.0000000000000001E-3</v>
      </c>
      <c r="L187" s="12">
        <f t="shared" si="4"/>
        <v>0.245</v>
      </c>
      <c r="M187" s="3">
        <f>SUMIFS(ledger!$E$2:$E$548, ledger!$C$2:$C$548, B187, ledger!$I$2:$I$548, G187)</f>
        <v>148</v>
      </c>
      <c r="N187" s="3" t="str">
        <f t="shared" si="5"/>
        <v>Standard</v>
      </c>
    </row>
    <row r="188" spans="1:14" x14ac:dyDescent="0.3">
      <c r="A188" s="3" t="str">
        <f>ledger!A188</f>
        <v>TXN100186</v>
      </c>
      <c r="B188" s="3">
        <f>ledger!C188</f>
        <v>15</v>
      </c>
      <c r="C188" s="4" t="str">
        <f>IFERROR(VLOOKUP(B188, merchants!$A$2:$D$41, 2, FALSE), "Merchant not found")</f>
        <v>Merchant_015</v>
      </c>
      <c r="D188" s="3" t="str">
        <f>IFERROR(VLOOKUP(B188, merchants!$A$2:$D$41, 3, FALSE), "Merchant not found")</f>
        <v>travel</v>
      </c>
      <c r="E188" s="3" t="str">
        <f>IFERROR(VLOOKUP(B188, merchants!$A$2:$D$41, 4, FALSE), "Merchant not found")</f>
        <v>North</v>
      </c>
      <c r="F188" s="4">
        <f>ledger!D188</f>
        <v>46041.144444444442</v>
      </c>
      <c r="G188" s="5">
        <f>ledger!I188</f>
        <v>46041</v>
      </c>
      <c r="H188" s="3">
        <f>ledger!E188</f>
        <v>499</v>
      </c>
      <c r="I188" s="3" t="str">
        <f>ledger!F188</f>
        <v>Wallet</v>
      </c>
      <c r="J188" s="3" t="str">
        <f>ledger!G188</f>
        <v>captured</v>
      </c>
      <c r="K188" s="9">
        <f>HLOOKUP(I188,Fee!$B$1:$E$2,2,FALSE())</f>
        <v>1.4999999999999999E-2</v>
      </c>
      <c r="L188" s="12">
        <f t="shared" si="4"/>
        <v>7.4849999999999994</v>
      </c>
      <c r="M188" s="3">
        <f>SUMIFS(ledger!$E$2:$E$548, ledger!$C$2:$C$548, B188, ledger!$I$2:$I$548, G188)</f>
        <v>499</v>
      </c>
      <c r="N188" s="3" t="str">
        <f t="shared" si="5"/>
        <v>Standard</v>
      </c>
    </row>
    <row r="189" spans="1:14" x14ac:dyDescent="0.3">
      <c r="A189" s="3" t="str">
        <f>ledger!A189</f>
        <v>TXN100187</v>
      </c>
      <c r="B189" s="3">
        <f>ledger!C189</f>
        <v>34</v>
      </c>
      <c r="C189" s="4" t="str">
        <f>IFERROR(VLOOKUP(B189, merchants!$A$2:$D$41, 2, FALSE), "Merchant not found")</f>
        <v>Merchant_034</v>
      </c>
      <c r="D189" s="3" t="str">
        <f>IFERROR(VLOOKUP(B189, merchants!$A$2:$D$41, 3, FALSE), "Merchant not found")</f>
        <v>travel</v>
      </c>
      <c r="E189" s="3" t="str">
        <f>IFERROR(VLOOKUP(B189, merchants!$A$2:$D$41, 4, FALSE), "Merchant not found")</f>
        <v>South</v>
      </c>
      <c r="F189" s="4">
        <f>ledger!D189</f>
        <v>46024.993055555555</v>
      </c>
      <c r="G189" s="5">
        <f>ledger!I189</f>
        <v>46024</v>
      </c>
      <c r="H189" s="3">
        <f>ledger!E189</f>
        <v>49</v>
      </c>
      <c r="I189" s="3" t="str">
        <f>ledger!F189</f>
        <v>UPI</v>
      </c>
      <c r="J189" s="3" t="str">
        <f>ledger!G189</f>
        <v>captured</v>
      </c>
      <c r="K189" s="9">
        <f>HLOOKUP(I189,Fee!$B$1:$E$2,2,FALSE())</f>
        <v>5.0000000000000001E-3</v>
      </c>
      <c r="L189" s="12">
        <f t="shared" si="4"/>
        <v>0.245</v>
      </c>
      <c r="M189" s="3">
        <f>SUMIFS(ledger!$E$2:$E$548, ledger!$C$2:$C$548, B189, ledger!$I$2:$I$548, G189)</f>
        <v>548</v>
      </c>
      <c r="N189" s="3" t="str">
        <f t="shared" si="5"/>
        <v>Standard</v>
      </c>
    </row>
    <row r="190" spans="1:14" x14ac:dyDescent="0.3">
      <c r="A190" s="3" t="str">
        <f>ledger!A190</f>
        <v>TXN100188</v>
      </c>
      <c r="B190" s="3">
        <f>ledger!C190</f>
        <v>31</v>
      </c>
      <c r="C190" s="4" t="str">
        <f>IFERROR(VLOOKUP(B190, merchants!$A$2:$D$41, 2, FALSE), "Merchant not found")</f>
        <v>Merchant_031</v>
      </c>
      <c r="D190" s="3" t="str">
        <f>IFERROR(VLOOKUP(B190, merchants!$A$2:$D$41, 3, FALSE), "Merchant not found")</f>
        <v>bill_payment</v>
      </c>
      <c r="E190" s="3" t="str">
        <f>IFERROR(VLOOKUP(B190, merchants!$A$2:$D$41, 4, FALSE), "Merchant not found")</f>
        <v>East</v>
      </c>
      <c r="F190" s="4">
        <f>ledger!D190</f>
        <v>46037.834027777775</v>
      </c>
      <c r="G190" s="5">
        <f>ledger!I190</f>
        <v>46037</v>
      </c>
      <c r="H190" s="3">
        <f>ledger!E190</f>
        <v>299</v>
      </c>
      <c r="I190" s="3" t="str">
        <f>ledger!F190</f>
        <v>UPI</v>
      </c>
      <c r="J190" s="3" t="str">
        <f>ledger!G190</f>
        <v>captured</v>
      </c>
      <c r="K190" s="9">
        <f>HLOOKUP(I190,Fee!$B$1:$E$2,2,FALSE())</f>
        <v>5.0000000000000001E-3</v>
      </c>
      <c r="L190" s="12">
        <f t="shared" si="4"/>
        <v>1.4950000000000001</v>
      </c>
      <c r="M190" s="3">
        <f>SUMIFS(ledger!$E$2:$E$548, ledger!$C$2:$C$548, B190, ledger!$I$2:$I$548, G190)</f>
        <v>299</v>
      </c>
      <c r="N190" s="3" t="str">
        <f t="shared" si="5"/>
        <v>Standard</v>
      </c>
    </row>
    <row r="191" spans="1:14" x14ac:dyDescent="0.3">
      <c r="A191" s="3" t="str">
        <f>ledger!A191</f>
        <v>TXN100189</v>
      </c>
      <c r="B191" s="3">
        <f>ledger!C191</f>
        <v>29</v>
      </c>
      <c r="C191" s="4" t="str">
        <f>IFERROR(VLOOKUP(B191, merchants!$A$2:$D$41, 2, FALSE), "Merchant not found")</f>
        <v>Merchant_029</v>
      </c>
      <c r="D191" s="3" t="str">
        <f>IFERROR(VLOOKUP(B191, merchants!$A$2:$D$41, 3, FALSE), "Merchant not found")</f>
        <v>ecommerce</v>
      </c>
      <c r="E191" s="3" t="str">
        <f>IFERROR(VLOOKUP(B191, merchants!$A$2:$D$41, 4, FALSE), "Merchant not found")</f>
        <v>North</v>
      </c>
      <c r="F191" s="4">
        <f>ledger!D191</f>
        <v>46036.879166666666</v>
      </c>
      <c r="G191" s="5">
        <f>ledger!I191</f>
        <v>46036</v>
      </c>
      <c r="H191" s="3">
        <f>ledger!E191</f>
        <v>1499</v>
      </c>
      <c r="I191" s="3" t="str">
        <f>ledger!F191</f>
        <v>UPI</v>
      </c>
      <c r="J191" s="3" t="str">
        <f>ledger!G191</f>
        <v>captured</v>
      </c>
      <c r="K191" s="9">
        <f>HLOOKUP(I191,Fee!$B$1:$E$2,2,FALSE())</f>
        <v>5.0000000000000001E-3</v>
      </c>
      <c r="L191" s="12">
        <f t="shared" si="4"/>
        <v>7.4950000000000001</v>
      </c>
      <c r="M191" s="3">
        <f>SUMIFS(ledger!$E$2:$E$548, ledger!$C$2:$C$548, B191, ledger!$I$2:$I$548, G191)</f>
        <v>1998</v>
      </c>
      <c r="N191" s="3" t="str">
        <f t="shared" si="5"/>
        <v>Standard</v>
      </c>
    </row>
    <row r="192" spans="1:14" x14ac:dyDescent="0.3">
      <c r="A192" s="3" t="str">
        <f>ledger!A192</f>
        <v>TXN100190</v>
      </c>
      <c r="B192" s="3">
        <f>ledger!C192</f>
        <v>10</v>
      </c>
      <c r="C192" s="4" t="str">
        <f>IFERROR(VLOOKUP(B192, merchants!$A$2:$D$41, 2, FALSE), "Merchant not found")</f>
        <v>Merchant_010</v>
      </c>
      <c r="D192" s="3" t="str">
        <f>IFERROR(VLOOKUP(B192, merchants!$A$2:$D$41, 3, FALSE), "Merchant not found")</f>
        <v>grocery</v>
      </c>
      <c r="E192" s="3" t="str">
        <f>IFERROR(VLOOKUP(B192, merchants!$A$2:$D$41, 4, FALSE), "Merchant not found")</f>
        <v>West</v>
      </c>
      <c r="F192" s="4">
        <f>ledger!D192</f>
        <v>46051.097222222219</v>
      </c>
      <c r="G192" s="5">
        <f>ledger!I192</f>
        <v>46051</v>
      </c>
      <c r="H192" s="3">
        <f>ledger!E192</f>
        <v>799</v>
      </c>
      <c r="I192" s="3" t="str">
        <f>ledger!F192</f>
        <v>UPI</v>
      </c>
      <c r="J192" s="3" t="str">
        <f>ledger!G192</f>
        <v>captured</v>
      </c>
      <c r="K192" s="9">
        <f>HLOOKUP(I192,Fee!$B$1:$E$2,2,FALSE())</f>
        <v>5.0000000000000001E-3</v>
      </c>
      <c r="L192" s="12">
        <f t="shared" si="4"/>
        <v>3.9950000000000001</v>
      </c>
      <c r="M192" s="3">
        <f>SUMIFS(ledger!$E$2:$E$548, ledger!$C$2:$C$548, B192, ledger!$I$2:$I$548, G192)</f>
        <v>799</v>
      </c>
      <c r="N192" s="3" t="str">
        <f t="shared" si="5"/>
        <v>Standard</v>
      </c>
    </row>
    <row r="193" spans="1:14" x14ac:dyDescent="0.3">
      <c r="A193" s="3" t="str">
        <f>ledger!A193</f>
        <v>TXN100191</v>
      </c>
      <c r="B193" s="3">
        <f>ledger!C193</f>
        <v>38</v>
      </c>
      <c r="C193" s="4" t="str">
        <f>IFERROR(VLOOKUP(B193, merchants!$A$2:$D$41, 2, FALSE), "Merchant not found")</f>
        <v>Merchant_038</v>
      </c>
      <c r="D193" s="3" t="str">
        <f>IFERROR(VLOOKUP(B193, merchants!$A$2:$D$41, 3, FALSE), "Merchant not found")</f>
        <v>grocery</v>
      </c>
      <c r="E193" s="3" t="str">
        <f>IFERROR(VLOOKUP(B193, merchants!$A$2:$D$41, 4, FALSE), "Merchant not found")</f>
        <v>East</v>
      </c>
      <c r="F193" s="4">
        <f>ledger!D193</f>
        <v>46027.36041666667</v>
      </c>
      <c r="G193" s="5">
        <f>ledger!I193</f>
        <v>46027</v>
      </c>
      <c r="H193" s="3">
        <f>ledger!E193</f>
        <v>1499</v>
      </c>
      <c r="I193" s="3" t="str">
        <f>ledger!F193</f>
        <v>Netbanking</v>
      </c>
      <c r="J193" s="3" t="str">
        <f>ledger!G193</f>
        <v>captured</v>
      </c>
      <c r="K193" s="9">
        <f>HLOOKUP(I193,Fee!$B$1:$E$2,2,FALSE())</f>
        <v>1.7999999999999999E-2</v>
      </c>
      <c r="L193" s="12">
        <f t="shared" si="4"/>
        <v>26.981999999999999</v>
      </c>
      <c r="M193" s="3">
        <f>SUMIFS(ledger!$E$2:$E$548, ledger!$C$2:$C$548, B193, ledger!$I$2:$I$548, G193)</f>
        <v>1499</v>
      </c>
      <c r="N193" s="3" t="str">
        <f t="shared" si="5"/>
        <v>Standard</v>
      </c>
    </row>
    <row r="194" spans="1:14" x14ac:dyDescent="0.3">
      <c r="A194" s="3" t="str">
        <f>ledger!A194</f>
        <v>TXN100192</v>
      </c>
      <c r="B194" s="3">
        <f>ledger!C194</f>
        <v>34</v>
      </c>
      <c r="C194" s="4" t="str">
        <f>IFERROR(VLOOKUP(B194, merchants!$A$2:$D$41, 2, FALSE), "Merchant not found")</f>
        <v>Merchant_034</v>
      </c>
      <c r="D194" s="3" t="str">
        <f>IFERROR(VLOOKUP(B194, merchants!$A$2:$D$41, 3, FALSE), "Merchant not found")</f>
        <v>travel</v>
      </c>
      <c r="E194" s="3" t="str">
        <f>IFERROR(VLOOKUP(B194, merchants!$A$2:$D$41, 4, FALSE), "Merchant not found")</f>
        <v>South</v>
      </c>
      <c r="F194" s="4">
        <f>ledger!D194</f>
        <v>46045.433333333334</v>
      </c>
      <c r="G194" s="5">
        <f>ledger!I194</f>
        <v>46045</v>
      </c>
      <c r="H194" s="3">
        <f>ledger!E194</f>
        <v>2999</v>
      </c>
      <c r="I194" s="3" t="str">
        <f>ledger!F194</f>
        <v>UPI</v>
      </c>
      <c r="J194" s="3" t="str">
        <f>ledger!G194</f>
        <v>captured</v>
      </c>
      <c r="K194" s="9">
        <f>HLOOKUP(I194,Fee!$B$1:$E$2,2,FALSE())</f>
        <v>5.0000000000000001E-3</v>
      </c>
      <c r="L194" s="12">
        <f t="shared" si="4"/>
        <v>14.995000000000001</v>
      </c>
      <c r="M194" s="3">
        <f>SUMIFS(ledger!$E$2:$E$548, ledger!$C$2:$C$548, B194, ledger!$I$2:$I$548, G194)</f>
        <v>3148</v>
      </c>
      <c r="N194" s="3" t="str">
        <f t="shared" si="5"/>
        <v>Standard</v>
      </c>
    </row>
    <row r="195" spans="1:14" x14ac:dyDescent="0.3">
      <c r="A195" s="3" t="str">
        <f>ledger!A195</f>
        <v>TXN100193</v>
      </c>
      <c r="B195" s="3">
        <f>ledger!C195</f>
        <v>7</v>
      </c>
      <c r="C195" s="4" t="str">
        <f>IFERROR(VLOOKUP(B195, merchants!$A$2:$D$41, 2, FALSE), "Merchant not found")</f>
        <v>Merchant_007</v>
      </c>
      <c r="D195" s="3" t="str">
        <f>IFERROR(VLOOKUP(B195, merchants!$A$2:$D$41, 3, FALSE), "Merchant not found")</f>
        <v>food_delivery</v>
      </c>
      <c r="E195" s="3" t="str">
        <f>IFERROR(VLOOKUP(B195, merchants!$A$2:$D$41, 4, FALSE), "Merchant not found")</f>
        <v>East</v>
      </c>
      <c r="F195" s="4">
        <f>ledger!D195</f>
        <v>46037.693055555559</v>
      </c>
      <c r="G195" s="5">
        <f>ledger!I195</f>
        <v>46037</v>
      </c>
      <c r="H195" s="3">
        <f>ledger!E195</f>
        <v>149</v>
      </c>
      <c r="I195" s="3" t="str">
        <f>ledger!F195</f>
        <v>Netbanking</v>
      </c>
      <c r="J195" s="3" t="str">
        <f>ledger!G195</f>
        <v>captured</v>
      </c>
      <c r="K195" s="9">
        <f>HLOOKUP(I195,Fee!$B$1:$E$2,2,FALSE())</f>
        <v>1.7999999999999999E-2</v>
      </c>
      <c r="L195" s="12">
        <f t="shared" ref="L195:L258" si="6">H195*K195</f>
        <v>2.6819999999999999</v>
      </c>
      <c r="M195" s="3">
        <f>SUMIFS(ledger!$E$2:$E$548, ledger!$C$2:$C$548, B195, ledger!$I$2:$I$548, G195)</f>
        <v>1648</v>
      </c>
      <c r="N195" s="3" t="str">
        <f t="shared" ref="N195:N258" si="7">IF(AND(M195&gt;5000,E195&lt;&gt;"East"),"High Value","Standard")</f>
        <v>Standard</v>
      </c>
    </row>
    <row r="196" spans="1:14" x14ac:dyDescent="0.3">
      <c r="A196" s="3" t="str">
        <f>ledger!A196</f>
        <v>TXN100194</v>
      </c>
      <c r="B196" s="3">
        <f>ledger!C196</f>
        <v>14</v>
      </c>
      <c r="C196" s="4" t="str">
        <f>IFERROR(VLOOKUP(B196, merchants!$A$2:$D$41, 2, FALSE), "Merchant not found")</f>
        <v>Merchant_014</v>
      </c>
      <c r="D196" s="3" t="str">
        <f>IFERROR(VLOOKUP(B196, merchants!$A$2:$D$41, 3, FALSE), "Merchant not found")</f>
        <v>grocery</v>
      </c>
      <c r="E196" s="3" t="str">
        <f>IFERROR(VLOOKUP(B196, merchants!$A$2:$D$41, 4, FALSE), "Merchant not found")</f>
        <v>East</v>
      </c>
      <c r="F196" s="4">
        <f>ledger!D196</f>
        <v>46026.861805555556</v>
      </c>
      <c r="G196" s="5">
        <f>ledger!I196</f>
        <v>46026</v>
      </c>
      <c r="H196" s="3">
        <f>ledger!E196</f>
        <v>99</v>
      </c>
      <c r="I196" s="3" t="str">
        <f>ledger!F196</f>
        <v>Wallet</v>
      </c>
      <c r="J196" s="3" t="str">
        <f>ledger!G196</f>
        <v>captured</v>
      </c>
      <c r="K196" s="9">
        <f>HLOOKUP(I196,Fee!$B$1:$E$2,2,FALSE())</f>
        <v>1.4999999999999999E-2</v>
      </c>
      <c r="L196" s="12">
        <f t="shared" si="6"/>
        <v>1.4849999999999999</v>
      </c>
      <c r="M196" s="3">
        <f>SUMIFS(ledger!$E$2:$E$548, ledger!$C$2:$C$548, B196, ledger!$I$2:$I$548, G196)</f>
        <v>99</v>
      </c>
      <c r="N196" s="3" t="str">
        <f t="shared" si="7"/>
        <v>Standard</v>
      </c>
    </row>
    <row r="197" spans="1:14" x14ac:dyDescent="0.3">
      <c r="A197" s="3" t="str">
        <f>ledger!A197</f>
        <v>TXN100195</v>
      </c>
      <c r="B197" s="3">
        <f>ledger!C197</f>
        <v>30</v>
      </c>
      <c r="C197" s="4" t="str">
        <f>IFERROR(VLOOKUP(B197, merchants!$A$2:$D$41, 2, FALSE), "Merchant not found")</f>
        <v>Merchant_030</v>
      </c>
      <c r="D197" s="3" t="str">
        <f>IFERROR(VLOOKUP(B197, merchants!$A$2:$D$41, 3, FALSE), "Merchant not found")</f>
        <v>travel</v>
      </c>
      <c r="E197" s="3" t="str">
        <f>IFERROR(VLOOKUP(B197, merchants!$A$2:$D$41, 4, FALSE), "Merchant not found")</f>
        <v>West</v>
      </c>
      <c r="F197" s="4">
        <f>ledger!D197</f>
        <v>46037.30972222222</v>
      </c>
      <c r="G197" s="5">
        <f>ledger!I197</f>
        <v>46037</v>
      </c>
      <c r="H197" s="3">
        <f>ledger!E197</f>
        <v>49</v>
      </c>
      <c r="I197" s="3" t="str">
        <f>ledger!F197</f>
        <v>UPI</v>
      </c>
      <c r="J197" s="3" t="str">
        <f>ledger!G197</f>
        <v>captured</v>
      </c>
      <c r="K197" s="9">
        <f>HLOOKUP(I197,Fee!$B$1:$E$2,2,FALSE())</f>
        <v>5.0000000000000001E-3</v>
      </c>
      <c r="L197" s="12">
        <f t="shared" si="6"/>
        <v>0.245</v>
      </c>
      <c r="M197" s="3">
        <f>SUMIFS(ledger!$E$2:$E$548, ledger!$C$2:$C$548, B197, ledger!$I$2:$I$548, G197)</f>
        <v>49</v>
      </c>
      <c r="N197" s="3" t="str">
        <f t="shared" si="7"/>
        <v>Standard</v>
      </c>
    </row>
    <row r="198" spans="1:14" x14ac:dyDescent="0.3">
      <c r="A198" s="3" t="str">
        <f>ledger!A198</f>
        <v>TXN100196</v>
      </c>
      <c r="B198" s="3">
        <f>ledger!C198</f>
        <v>28</v>
      </c>
      <c r="C198" s="4" t="str">
        <f>IFERROR(VLOOKUP(B198, merchants!$A$2:$D$41, 2, FALSE), "Merchant not found")</f>
        <v>Merchant_028</v>
      </c>
      <c r="D198" s="3" t="str">
        <f>IFERROR(VLOOKUP(B198, merchants!$A$2:$D$41, 3, FALSE), "Merchant not found")</f>
        <v>ecommerce</v>
      </c>
      <c r="E198" s="3" t="str">
        <f>IFERROR(VLOOKUP(B198, merchants!$A$2:$D$41, 4, FALSE), "Merchant not found")</f>
        <v>South</v>
      </c>
      <c r="F198" s="4">
        <f>ledger!D198</f>
        <v>46036.962500000001</v>
      </c>
      <c r="G198" s="5">
        <f>ledger!I198</f>
        <v>46036</v>
      </c>
      <c r="H198" s="3">
        <f>ledger!E198</f>
        <v>49</v>
      </c>
      <c r="I198" s="3" t="str">
        <f>ledger!F198</f>
        <v>UPI</v>
      </c>
      <c r="J198" s="3" t="str">
        <f>ledger!G198</f>
        <v>captured</v>
      </c>
      <c r="K198" s="9">
        <f>HLOOKUP(I198,Fee!$B$1:$E$2,2,FALSE())</f>
        <v>5.0000000000000001E-3</v>
      </c>
      <c r="L198" s="12">
        <f t="shared" si="6"/>
        <v>0.245</v>
      </c>
      <c r="M198" s="3">
        <f>SUMIFS(ledger!$E$2:$E$548, ledger!$C$2:$C$548, B198, ledger!$I$2:$I$548, G198)</f>
        <v>49</v>
      </c>
      <c r="N198" s="3" t="str">
        <f t="shared" si="7"/>
        <v>Standard</v>
      </c>
    </row>
    <row r="199" spans="1:14" x14ac:dyDescent="0.3">
      <c r="A199" s="3" t="str">
        <f>ledger!A199</f>
        <v>TXN100197</v>
      </c>
      <c r="B199" s="3">
        <f>ledger!C199</f>
        <v>31</v>
      </c>
      <c r="C199" s="4" t="str">
        <f>IFERROR(VLOOKUP(B199, merchants!$A$2:$D$41, 2, FALSE), "Merchant not found")</f>
        <v>Merchant_031</v>
      </c>
      <c r="D199" s="3" t="str">
        <f>IFERROR(VLOOKUP(B199, merchants!$A$2:$D$41, 3, FALSE), "Merchant not found")</f>
        <v>bill_payment</v>
      </c>
      <c r="E199" s="3" t="str">
        <f>IFERROR(VLOOKUP(B199, merchants!$A$2:$D$41, 4, FALSE), "Merchant not found")</f>
        <v>East</v>
      </c>
      <c r="F199" s="4">
        <f>ledger!D199</f>
        <v>46044.349305555559</v>
      </c>
      <c r="G199" s="5">
        <f>ledger!I199</f>
        <v>46044</v>
      </c>
      <c r="H199" s="3">
        <f>ledger!E199</f>
        <v>99</v>
      </c>
      <c r="I199" s="3" t="str">
        <f>ledger!F199</f>
        <v>UPI</v>
      </c>
      <c r="J199" s="3" t="str">
        <f>ledger!G199</f>
        <v>captured</v>
      </c>
      <c r="K199" s="9">
        <f>HLOOKUP(I199,Fee!$B$1:$E$2,2,FALSE())</f>
        <v>5.0000000000000001E-3</v>
      </c>
      <c r="L199" s="12">
        <f t="shared" si="6"/>
        <v>0.495</v>
      </c>
      <c r="M199" s="3">
        <f>SUMIFS(ledger!$E$2:$E$548, ledger!$C$2:$C$548, B199, ledger!$I$2:$I$548, G199)</f>
        <v>99</v>
      </c>
      <c r="N199" s="3" t="str">
        <f t="shared" si="7"/>
        <v>Standard</v>
      </c>
    </row>
    <row r="200" spans="1:14" x14ac:dyDescent="0.3">
      <c r="A200" s="3" t="str">
        <f>ledger!A200</f>
        <v>TXN100198</v>
      </c>
      <c r="B200" s="3">
        <f>ledger!C200</f>
        <v>7</v>
      </c>
      <c r="C200" s="4" t="str">
        <f>IFERROR(VLOOKUP(B200, merchants!$A$2:$D$41, 2, FALSE), "Merchant not found")</f>
        <v>Merchant_007</v>
      </c>
      <c r="D200" s="3" t="str">
        <f>IFERROR(VLOOKUP(B200, merchants!$A$2:$D$41, 3, FALSE), "Merchant not found")</f>
        <v>food_delivery</v>
      </c>
      <c r="E200" s="3" t="str">
        <f>IFERROR(VLOOKUP(B200, merchants!$A$2:$D$41, 4, FALSE), "Merchant not found")</f>
        <v>East</v>
      </c>
      <c r="F200" s="4">
        <f>ledger!D200</f>
        <v>46025.086805555555</v>
      </c>
      <c r="G200" s="5">
        <f>ledger!I200</f>
        <v>46025</v>
      </c>
      <c r="H200" s="3">
        <f>ledger!E200</f>
        <v>149</v>
      </c>
      <c r="I200" s="3" t="str">
        <f>ledger!F200</f>
        <v>Wallet</v>
      </c>
      <c r="J200" s="3" t="str">
        <f>ledger!G200</f>
        <v>captured</v>
      </c>
      <c r="K200" s="9">
        <f>HLOOKUP(I200,Fee!$B$1:$E$2,2,FALSE())</f>
        <v>1.4999999999999999E-2</v>
      </c>
      <c r="L200" s="12">
        <f t="shared" si="6"/>
        <v>2.2349999999999999</v>
      </c>
      <c r="M200" s="3">
        <f>SUMIFS(ledger!$E$2:$E$548, ledger!$C$2:$C$548, B200, ledger!$I$2:$I$548, G200)</f>
        <v>149</v>
      </c>
      <c r="N200" s="3" t="str">
        <f t="shared" si="7"/>
        <v>Standard</v>
      </c>
    </row>
    <row r="201" spans="1:14" x14ac:dyDescent="0.3">
      <c r="A201" s="3" t="str">
        <f>ledger!A201</f>
        <v>TXN100199</v>
      </c>
      <c r="B201" s="3">
        <f>ledger!C201</f>
        <v>36</v>
      </c>
      <c r="C201" s="4" t="str">
        <f>IFERROR(VLOOKUP(B201, merchants!$A$2:$D$41, 2, FALSE), "Merchant not found")</f>
        <v>Merchant_036</v>
      </c>
      <c r="D201" s="3" t="str">
        <f>IFERROR(VLOOKUP(B201, merchants!$A$2:$D$41, 3, FALSE), "Merchant not found")</f>
        <v>entertainment</v>
      </c>
      <c r="E201" s="3" t="str">
        <f>IFERROR(VLOOKUP(B201, merchants!$A$2:$D$41, 4, FALSE), "Merchant not found")</f>
        <v>East</v>
      </c>
      <c r="F201" s="4">
        <f>ledger!D201</f>
        <v>46046.493750000001</v>
      </c>
      <c r="G201" s="5">
        <f>ledger!I201</f>
        <v>46046</v>
      </c>
      <c r="H201" s="3">
        <f>ledger!E201</f>
        <v>99</v>
      </c>
      <c r="I201" s="3" t="str">
        <f>ledger!F201</f>
        <v>UPI</v>
      </c>
      <c r="J201" s="3" t="str">
        <f>ledger!G201</f>
        <v>captured</v>
      </c>
      <c r="K201" s="9">
        <f>HLOOKUP(I201,Fee!$B$1:$E$2,2,FALSE())</f>
        <v>5.0000000000000001E-3</v>
      </c>
      <c r="L201" s="12">
        <f t="shared" si="6"/>
        <v>0.495</v>
      </c>
      <c r="M201" s="3">
        <f>SUMIFS(ledger!$E$2:$E$548, ledger!$C$2:$C$548, B201, ledger!$I$2:$I$548, G201)</f>
        <v>1647</v>
      </c>
      <c r="N201" s="3" t="str">
        <f t="shared" si="7"/>
        <v>Standard</v>
      </c>
    </row>
    <row r="202" spans="1:14" x14ac:dyDescent="0.3">
      <c r="A202" s="3" t="str">
        <f>ledger!A202</f>
        <v>TXN100200</v>
      </c>
      <c r="B202" s="3">
        <f>ledger!C202</f>
        <v>8</v>
      </c>
      <c r="C202" s="4" t="str">
        <f>IFERROR(VLOOKUP(B202, merchants!$A$2:$D$41, 2, FALSE), "Merchant not found")</f>
        <v>Merchant_008</v>
      </c>
      <c r="D202" s="3" t="str">
        <f>IFERROR(VLOOKUP(B202, merchants!$A$2:$D$41, 3, FALSE), "Merchant not found")</f>
        <v>food_delivery</v>
      </c>
      <c r="E202" s="3" t="str">
        <f>IFERROR(VLOOKUP(B202, merchants!$A$2:$D$41, 4, FALSE), "Merchant not found")</f>
        <v>North</v>
      </c>
      <c r="F202" s="4">
        <f>ledger!D202</f>
        <v>46041.732638888891</v>
      </c>
      <c r="G202" s="5">
        <f>ledger!I202</f>
        <v>46041</v>
      </c>
      <c r="H202" s="3">
        <f>ledger!E202</f>
        <v>99</v>
      </c>
      <c r="I202" s="3" t="str">
        <f>ledger!F202</f>
        <v>UPI</v>
      </c>
      <c r="J202" s="3" t="str">
        <f>ledger!G202</f>
        <v>captured</v>
      </c>
      <c r="K202" s="9">
        <f>HLOOKUP(I202,Fee!$B$1:$E$2,2,FALSE())</f>
        <v>5.0000000000000001E-3</v>
      </c>
      <c r="L202" s="12">
        <f t="shared" si="6"/>
        <v>0.495</v>
      </c>
      <c r="M202" s="3">
        <f>SUMIFS(ledger!$E$2:$E$548, ledger!$C$2:$C$548, B202, ledger!$I$2:$I$548, G202)</f>
        <v>99</v>
      </c>
      <c r="N202" s="3" t="str">
        <f t="shared" si="7"/>
        <v>Standard</v>
      </c>
    </row>
    <row r="203" spans="1:14" x14ac:dyDescent="0.3">
      <c r="A203" s="3" t="str">
        <f>ledger!A203</f>
        <v>TXN100201</v>
      </c>
      <c r="B203" s="3">
        <f>ledger!C203</f>
        <v>4</v>
      </c>
      <c r="C203" s="4" t="str">
        <f>IFERROR(VLOOKUP(B203, merchants!$A$2:$D$41, 2, FALSE), "Merchant not found")</f>
        <v>Merchant_004</v>
      </c>
      <c r="D203" s="3" t="str">
        <f>IFERROR(VLOOKUP(B203, merchants!$A$2:$D$41, 3, FALSE), "Merchant not found")</f>
        <v>ecommerce</v>
      </c>
      <c r="E203" s="3" t="str">
        <f>IFERROR(VLOOKUP(B203, merchants!$A$2:$D$41, 4, FALSE), "Merchant not found")</f>
        <v>East</v>
      </c>
      <c r="F203" s="4">
        <f>ledger!D203</f>
        <v>46034.908333333333</v>
      </c>
      <c r="G203" s="5">
        <f>ledger!I203</f>
        <v>46034</v>
      </c>
      <c r="H203" s="3">
        <f>ledger!E203</f>
        <v>49</v>
      </c>
      <c r="I203" s="3" t="str">
        <f>ledger!F203</f>
        <v>UPI</v>
      </c>
      <c r="J203" s="3" t="str">
        <f>ledger!G203</f>
        <v>captured</v>
      </c>
      <c r="K203" s="9">
        <f>HLOOKUP(I203,Fee!$B$1:$E$2,2,FALSE())</f>
        <v>5.0000000000000001E-3</v>
      </c>
      <c r="L203" s="12">
        <f t="shared" si="6"/>
        <v>0.245</v>
      </c>
      <c r="M203" s="3">
        <f>SUMIFS(ledger!$E$2:$E$548, ledger!$C$2:$C$548, B203, ledger!$I$2:$I$548, G203)</f>
        <v>49</v>
      </c>
      <c r="N203" s="3" t="str">
        <f t="shared" si="7"/>
        <v>Standard</v>
      </c>
    </row>
    <row r="204" spans="1:14" x14ac:dyDescent="0.3">
      <c r="A204" s="3" t="str">
        <f>ledger!A204</f>
        <v>TXN100202</v>
      </c>
      <c r="B204" s="3">
        <f>ledger!C204</f>
        <v>37</v>
      </c>
      <c r="C204" s="4" t="str">
        <f>IFERROR(VLOOKUP(B204, merchants!$A$2:$D$41, 2, FALSE), "Merchant not found")</f>
        <v>Merchant_037</v>
      </c>
      <c r="D204" s="3" t="str">
        <f>IFERROR(VLOOKUP(B204, merchants!$A$2:$D$41, 3, FALSE), "Merchant not found")</f>
        <v>entertainment</v>
      </c>
      <c r="E204" s="3" t="str">
        <f>IFERROR(VLOOKUP(B204, merchants!$A$2:$D$41, 4, FALSE), "Merchant not found")</f>
        <v>South</v>
      </c>
      <c r="F204" s="4">
        <f>ledger!D204</f>
        <v>46042.390277777777</v>
      </c>
      <c r="G204" s="5">
        <f>ledger!I204</f>
        <v>46042</v>
      </c>
      <c r="H204" s="3">
        <f>ledger!E204</f>
        <v>149</v>
      </c>
      <c r="I204" s="3" t="str">
        <f>ledger!F204</f>
        <v>UPI</v>
      </c>
      <c r="J204" s="3" t="str">
        <f>ledger!G204</f>
        <v>captured</v>
      </c>
      <c r="K204" s="9">
        <f>HLOOKUP(I204,Fee!$B$1:$E$2,2,FALSE())</f>
        <v>5.0000000000000001E-3</v>
      </c>
      <c r="L204" s="12">
        <f t="shared" si="6"/>
        <v>0.745</v>
      </c>
      <c r="M204" s="3">
        <f>SUMIFS(ledger!$E$2:$E$548, ledger!$C$2:$C$548, B204, ledger!$I$2:$I$548, G204)</f>
        <v>149</v>
      </c>
      <c r="N204" s="3" t="str">
        <f t="shared" si="7"/>
        <v>Standard</v>
      </c>
    </row>
    <row r="205" spans="1:14" x14ac:dyDescent="0.3">
      <c r="A205" s="3" t="str">
        <f>ledger!A205</f>
        <v>TXN100203</v>
      </c>
      <c r="B205" s="3">
        <f>ledger!C205</f>
        <v>15</v>
      </c>
      <c r="C205" s="4" t="str">
        <f>IFERROR(VLOOKUP(B205, merchants!$A$2:$D$41, 2, FALSE), "Merchant not found")</f>
        <v>Merchant_015</v>
      </c>
      <c r="D205" s="3" t="str">
        <f>IFERROR(VLOOKUP(B205, merchants!$A$2:$D$41, 3, FALSE), "Merchant not found")</f>
        <v>travel</v>
      </c>
      <c r="E205" s="3" t="str">
        <f>IFERROR(VLOOKUP(B205, merchants!$A$2:$D$41, 4, FALSE), "Merchant not found")</f>
        <v>North</v>
      </c>
      <c r="F205" s="4">
        <f>ledger!D205</f>
        <v>46029.195833333331</v>
      </c>
      <c r="G205" s="5">
        <f>ledger!I205</f>
        <v>46029</v>
      </c>
      <c r="H205" s="3">
        <f>ledger!E205</f>
        <v>49</v>
      </c>
      <c r="I205" s="3" t="str">
        <f>ledger!F205</f>
        <v>Card</v>
      </c>
      <c r="J205" s="3" t="str">
        <f>ledger!G205</f>
        <v>captured</v>
      </c>
      <c r="K205" s="9">
        <f>HLOOKUP(I205,Fee!$B$1:$E$2,2,FALSE())</f>
        <v>0.02</v>
      </c>
      <c r="L205" s="12">
        <f t="shared" si="6"/>
        <v>0.98</v>
      </c>
      <c r="M205" s="3">
        <f>SUMIFS(ledger!$E$2:$E$548, ledger!$C$2:$C$548, B205, ledger!$I$2:$I$548, G205)</f>
        <v>49</v>
      </c>
      <c r="N205" s="3" t="str">
        <f t="shared" si="7"/>
        <v>Standard</v>
      </c>
    </row>
    <row r="206" spans="1:14" x14ac:dyDescent="0.3">
      <c r="A206" s="3" t="str">
        <f>ledger!A206</f>
        <v>TXN100204</v>
      </c>
      <c r="B206" s="3">
        <f>ledger!C206</f>
        <v>18</v>
      </c>
      <c r="C206" s="4" t="str">
        <f>IFERROR(VLOOKUP(B206, merchants!$A$2:$D$41, 2, FALSE), "Merchant not found")</f>
        <v>Merchant_018</v>
      </c>
      <c r="D206" s="3" t="str">
        <f>IFERROR(VLOOKUP(B206, merchants!$A$2:$D$41, 3, FALSE), "Merchant not found")</f>
        <v>grocery</v>
      </c>
      <c r="E206" s="3" t="str">
        <f>IFERROR(VLOOKUP(B206, merchants!$A$2:$D$41, 4, FALSE), "Merchant not found")</f>
        <v>West</v>
      </c>
      <c r="F206" s="4">
        <f>ledger!D206</f>
        <v>46034.724305555559</v>
      </c>
      <c r="G206" s="5">
        <f>ledger!I206</f>
        <v>46034</v>
      </c>
      <c r="H206" s="3">
        <f>ledger!E206</f>
        <v>49</v>
      </c>
      <c r="I206" s="3" t="str">
        <f>ledger!F206</f>
        <v>Card</v>
      </c>
      <c r="J206" s="3" t="str">
        <f>ledger!G206</f>
        <v>captured</v>
      </c>
      <c r="K206" s="9">
        <f>HLOOKUP(I206,Fee!$B$1:$E$2,2,FALSE())</f>
        <v>0.02</v>
      </c>
      <c r="L206" s="12">
        <f t="shared" si="6"/>
        <v>0.98</v>
      </c>
      <c r="M206" s="3">
        <f>SUMIFS(ledger!$E$2:$E$548, ledger!$C$2:$C$548, B206, ledger!$I$2:$I$548, G206)</f>
        <v>49</v>
      </c>
      <c r="N206" s="3" t="str">
        <f t="shared" si="7"/>
        <v>Standard</v>
      </c>
    </row>
    <row r="207" spans="1:14" x14ac:dyDescent="0.3">
      <c r="A207" s="3" t="str">
        <f>ledger!A207</f>
        <v>TXN100205</v>
      </c>
      <c r="B207" s="3">
        <f>ledger!C207</f>
        <v>40</v>
      </c>
      <c r="C207" s="4" t="str">
        <f>IFERROR(VLOOKUP(B207, merchants!$A$2:$D$41, 2, FALSE), "Merchant not found")</f>
        <v>Merchant_040</v>
      </c>
      <c r="D207" s="3" t="str">
        <f>IFERROR(VLOOKUP(B207, merchants!$A$2:$D$41, 3, FALSE), "Merchant not found")</f>
        <v>entertainment</v>
      </c>
      <c r="E207" s="3" t="str">
        <f>IFERROR(VLOOKUP(B207, merchants!$A$2:$D$41, 4, FALSE), "Merchant not found")</f>
        <v>South</v>
      </c>
      <c r="F207" s="4">
        <f>ledger!D207</f>
        <v>46030.57916666667</v>
      </c>
      <c r="G207" s="5">
        <f>ledger!I207</f>
        <v>46030</v>
      </c>
      <c r="H207" s="3">
        <f>ledger!E207</f>
        <v>49</v>
      </c>
      <c r="I207" s="3" t="str">
        <f>ledger!F207</f>
        <v>UPI</v>
      </c>
      <c r="J207" s="3" t="str">
        <f>ledger!G207</f>
        <v>failed</v>
      </c>
      <c r="K207" s="9">
        <f>HLOOKUP(I207,Fee!$B$1:$E$2,2,FALSE())</f>
        <v>5.0000000000000001E-3</v>
      </c>
      <c r="L207" s="12">
        <f t="shared" si="6"/>
        <v>0.245</v>
      </c>
      <c r="M207" s="3">
        <f>SUMIFS(ledger!$E$2:$E$548, ledger!$C$2:$C$548, B207, ledger!$I$2:$I$548, G207)</f>
        <v>49</v>
      </c>
      <c r="N207" s="3" t="str">
        <f t="shared" si="7"/>
        <v>Standard</v>
      </c>
    </row>
    <row r="208" spans="1:14" x14ac:dyDescent="0.3">
      <c r="A208" s="3" t="str">
        <f>ledger!A208</f>
        <v>TXN100206</v>
      </c>
      <c r="B208" s="3">
        <f>ledger!C208</f>
        <v>39</v>
      </c>
      <c r="C208" s="4" t="str">
        <f>IFERROR(VLOOKUP(B208, merchants!$A$2:$D$41, 2, FALSE), "Merchant not found")</f>
        <v>Merchant_039</v>
      </c>
      <c r="D208" s="3" t="str">
        <f>IFERROR(VLOOKUP(B208, merchants!$A$2:$D$41, 3, FALSE), "Merchant not found")</f>
        <v>entertainment</v>
      </c>
      <c r="E208" s="3" t="str">
        <f>IFERROR(VLOOKUP(B208, merchants!$A$2:$D$41, 4, FALSE), "Merchant not found")</f>
        <v>North</v>
      </c>
      <c r="F208" s="4">
        <f>ledger!D208</f>
        <v>46044.857638888891</v>
      </c>
      <c r="G208" s="5">
        <f>ledger!I208</f>
        <v>46044</v>
      </c>
      <c r="H208" s="3">
        <f>ledger!E208</f>
        <v>799</v>
      </c>
      <c r="I208" s="3" t="str">
        <f>ledger!F208</f>
        <v>UPI</v>
      </c>
      <c r="J208" s="3" t="str">
        <f>ledger!G208</f>
        <v>captured</v>
      </c>
      <c r="K208" s="9">
        <f>HLOOKUP(I208,Fee!$B$1:$E$2,2,FALSE())</f>
        <v>5.0000000000000001E-3</v>
      </c>
      <c r="L208" s="12">
        <f t="shared" si="6"/>
        <v>3.9950000000000001</v>
      </c>
      <c r="M208" s="3">
        <f>SUMIFS(ledger!$E$2:$E$548, ledger!$C$2:$C$548, B208, ledger!$I$2:$I$548, G208)</f>
        <v>9796</v>
      </c>
      <c r="N208" s="3" t="str">
        <f t="shared" si="7"/>
        <v>High Value</v>
      </c>
    </row>
    <row r="209" spans="1:14" x14ac:dyDescent="0.3">
      <c r="A209" s="3" t="str">
        <f>ledger!A209</f>
        <v>TXN100207</v>
      </c>
      <c r="B209" s="3">
        <f>ledger!C209</f>
        <v>12</v>
      </c>
      <c r="C209" s="4" t="str">
        <f>IFERROR(VLOOKUP(B209, merchants!$A$2:$D$41, 2, FALSE), "Merchant not found")</f>
        <v>Merchant_012</v>
      </c>
      <c r="D209" s="3" t="str">
        <f>IFERROR(VLOOKUP(B209, merchants!$A$2:$D$41, 3, FALSE), "Merchant not found")</f>
        <v>ecommerce</v>
      </c>
      <c r="E209" s="3" t="str">
        <f>IFERROR(VLOOKUP(B209, merchants!$A$2:$D$41, 4, FALSE), "Merchant not found")</f>
        <v>East</v>
      </c>
      <c r="F209" s="4">
        <f>ledger!D209</f>
        <v>46049.928472222222</v>
      </c>
      <c r="G209" s="5">
        <f>ledger!I209</f>
        <v>46049</v>
      </c>
      <c r="H209" s="3">
        <f>ledger!E209</f>
        <v>149</v>
      </c>
      <c r="I209" s="3" t="str">
        <f>ledger!F209</f>
        <v>UPI</v>
      </c>
      <c r="J209" s="3" t="str">
        <f>ledger!G209</f>
        <v>captured</v>
      </c>
      <c r="K209" s="9">
        <f>HLOOKUP(I209,Fee!$B$1:$E$2,2,FALSE())</f>
        <v>5.0000000000000001E-3</v>
      </c>
      <c r="L209" s="12">
        <f t="shared" si="6"/>
        <v>0.745</v>
      </c>
      <c r="M209" s="3">
        <f>SUMIFS(ledger!$E$2:$E$548, ledger!$C$2:$C$548, B209, ledger!$I$2:$I$548, G209)</f>
        <v>149</v>
      </c>
      <c r="N209" s="3" t="str">
        <f t="shared" si="7"/>
        <v>Standard</v>
      </c>
    </row>
    <row r="210" spans="1:14" x14ac:dyDescent="0.3">
      <c r="A210" s="3" t="str">
        <f>ledger!A210</f>
        <v>TXN100208</v>
      </c>
      <c r="B210" s="3">
        <f>ledger!C210</f>
        <v>23</v>
      </c>
      <c r="C210" s="4" t="str">
        <f>IFERROR(VLOOKUP(B210, merchants!$A$2:$D$41, 2, FALSE), "Merchant not found")</f>
        <v>Merchant_023</v>
      </c>
      <c r="D210" s="3" t="str">
        <f>IFERROR(VLOOKUP(B210, merchants!$A$2:$D$41, 3, FALSE), "Merchant not found")</f>
        <v>travel</v>
      </c>
      <c r="E210" s="3" t="str">
        <f>IFERROR(VLOOKUP(B210, merchants!$A$2:$D$41, 4, FALSE), "Merchant not found")</f>
        <v>North</v>
      </c>
      <c r="F210" s="4">
        <f>ledger!D210</f>
        <v>46045.415277777778</v>
      </c>
      <c r="G210" s="5">
        <f>ledger!I210</f>
        <v>46045</v>
      </c>
      <c r="H210" s="3">
        <f>ledger!E210</f>
        <v>149</v>
      </c>
      <c r="I210" s="3" t="str">
        <f>ledger!F210</f>
        <v>UPI</v>
      </c>
      <c r="J210" s="3" t="str">
        <f>ledger!G210</f>
        <v>captured</v>
      </c>
      <c r="K210" s="9">
        <f>HLOOKUP(I210,Fee!$B$1:$E$2,2,FALSE())</f>
        <v>5.0000000000000001E-3</v>
      </c>
      <c r="L210" s="12">
        <f t="shared" si="6"/>
        <v>0.745</v>
      </c>
      <c r="M210" s="3">
        <f>SUMIFS(ledger!$E$2:$E$548, ledger!$C$2:$C$548, B210, ledger!$I$2:$I$548, G210)</f>
        <v>247</v>
      </c>
      <c r="N210" s="3" t="str">
        <f t="shared" si="7"/>
        <v>Standard</v>
      </c>
    </row>
    <row r="211" spans="1:14" x14ac:dyDescent="0.3">
      <c r="A211" s="3" t="str">
        <f>ledger!A211</f>
        <v>TXN100209</v>
      </c>
      <c r="B211" s="3">
        <f>ledger!C211</f>
        <v>26</v>
      </c>
      <c r="C211" s="4" t="str">
        <f>IFERROR(VLOOKUP(B211, merchants!$A$2:$D$41, 2, FALSE), "Merchant not found")</f>
        <v>Merchant_026</v>
      </c>
      <c r="D211" s="3" t="str">
        <f>IFERROR(VLOOKUP(B211, merchants!$A$2:$D$41, 3, FALSE), "Merchant not found")</f>
        <v>food_delivery</v>
      </c>
      <c r="E211" s="3" t="str">
        <f>IFERROR(VLOOKUP(B211, merchants!$A$2:$D$41, 4, FALSE), "Merchant not found")</f>
        <v>East</v>
      </c>
      <c r="F211" s="4">
        <f>ledger!D211</f>
        <v>46028.191666666666</v>
      </c>
      <c r="G211" s="5">
        <f>ledger!I211</f>
        <v>46028</v>
      </c>
      <c r="H211" s="3">
        <f>ledger!E211</f>
        <v>49</v>
      </c>
      <c r="I211" s="3" t="str">
        <f>ledger!F211</f>
        <v>UPI</v>
      </c>
      <c r="J211" s="3" t="str">
        <f>ledger!G211</f>
        <v>captured</v>
      </c>
      <c r="K211" s="9">
        <f>HLOOKUP(I211,Fee!$B$1:$E$2,2,FALSE())</f>
        <v>5.0000000000000001E-3</v>
      </c>
      <c r="L211" s="12">
        <f t="shared" si="6"/>
        <v>0.245</v>
      </c>
      <c r="M211" s="3">
        <f>SUMIFS(ledger!$E$2:$E$548, ledger!$C$2:$C$548, B211, ledger!$I$2:$I$548, G211)</f>
        <v>49</v>
      </c>
      <c r="N211" s="3" t="str">
        <f t="shared" si="7"/>
        <v>Standard</v>
      </c>
    </row>
    <row r="212" spans="1:14" x14ac:dyDescent="0.3">
      <c r="A212" s="3" t="str">
        <f>ledger!A212</f>
        <v>TXN100210</v>
      </c>
      <c r="B212" s="3">
        <f>ledger!C212</f>
        <v>6</v>
      </c>
      <c r="C212" s="4" t="str">
        <f>IFERROR(VLOOKUP(B212, merchants!$A$2:$D$41, 2, FALSE), "Merchant not found")</f>
        <v>Merchant_006</v>
      </c>
      <c r="D212" s="3" t="str">
        <f>IFERROR(VLOOKUP(B212, merchants!$A$2:$D$41, 3, FALSE), "Merchant not found")</f>
        <v>food_delivery</v>
      </c>
      <c r="E212" s="3" t="str">
        <f>IFERROR(VLOOKUP(B212, merchants!$A$2:$D$41, 4, FALSE), "Merchant not found")</f>
        <v>South</v>
      </c>
      <c r="F212" s="4">
        <f>ledger!D212</f>
        <v>46027.986111111109</v>
      </c>
      <c r="G212" s="5">
        <f>ledger!I212</f>
        <v>46027</v>
      </c>
      <c r="H212" s="3">
        <f>ledger!E212</f>
        <v>1499</v>
      </c>
      <c r="I212" s="3" t="str">
        <f>ledger!F212</f>
        <v>UPI</v>
      </c>
      <c r="J212" s="3" t="str">
        <f>ledger!G212</f>
        <v>captured</v>
      </c>
      <c r="K212" s="9">
        <f>HLOOKUP(I212,Fee!$B$1:$E$2,2,FALSE())</f>
        <v>5.0000000000000001E-3</v>
      </c>
      <c r="L212" s="12">
        <f t="shared" si="6"/>
        <v>7.4950000000000001</v>
      </c>
      <c r="M212" s="3">
        <f>SUMIFS(ledger!$E$2:$E$548, ledger!$C$2:$C$548, B212, ledger!$I$2:$I$548, G212)</f>
        <v>1499</v>
      </c>
      <c r="N212" s="3" t="str">
        <f t="shared" si="7"/>
        <v>Standard</v>
      </c>
    </row>
    <row r="213" spans="1:14" x14ac:dyDescent="0.3">
      <c r="A213" s="3" t="str">
        <f>ledger!A213</f>
        <v>TXN100211</v>
      </c>
      <c r="B213" s="3">
        <f>ledger!C213</f>
        <v>30</v>
      </c>
      <c r="C213" s="4" t="str">
        <f>IFERROR(VLOOKUP(B213, merchants!$A$2:$D$41, 2, FALSE), "Merchant not found")</f>
        <v>Merchant_030</v>
      </c>
      <c r="D213" s="3" t="str">
        <f>IFERROR(VLOOKUP(B213, merchants!$A$2:$D$41, 3, FALSE), "Merchant not found")</f>
        <v>travel</v>
      </c>
      <c r="E213" s="3" t="str">
        <f>IFERROR(VLOOKUP(B213, merchants!$A$2:$D$41, 4, FALSE), "Merchant not found")</f>
        <v>West</v>
      </c>
      <c r="F213" s="4">
        <f>ledger!D213</f>
        <v>46039.26666666667</v>
      </c>
      <c r="G213" s="5">
        <f>ledger!I213</f>
        <v>46039</v>
      </c>
      <c r="H213" s="3">
        <f>ledger!E213</f>
        <v>49</v>
      </c>
      <c r="I213" s="3" t="str">
        <f>ledger!F213</f>
        <v>UPI</v>
      </c>
      <c r="J213" s="3" t="str">
        <f>ledger!G213</f>
        <v>captured</v>
      </c>
      <c r="K213" s="9">
        <f>HLOOKUP(I213,Fee!$B$1:$E$2,2,FALSE())</f>
        <v>5.0000000000000001E-3</v>
      </c>
      <c r="L213" s="12">
        <f t="shared" si="6"/>
        <v>0.245</v>
      </c>
      <c r="M213" s="3">
        <f>SUMIFS(ledger!$E$2:$E$548, ledger!$C$2:$C$548, B213, ledger!$I$2:$I$548, G213)</f>
        <v>49</v>
      </c>
      <c r="N213" s="3" t="str">
        <f t="shared" si="7"/>
        <v>Standard</v>
      </c>
    </row>
    <row r="214" spans="1:14" x14ac:dyDescent="0.3">
      <c r="A214" s="3" t="str">
        <f>ledger!A214</f>
        <v>TXN100212</v>
      </c>
      <c r="B214" s="3">
        <f>ledger!C214</f>
        <v>37</v>
      </c>
      <c r="C214" s="4" t="str">
        <f>IFERROR(VLOOKUP(B214, merchants!$A$2:$D$41, 2, FALSE), "Merchant not found")</f>
        <v>Merchant_037</v>
      </c>
      <c r="D214" s="3" t="str">
        <f>IFERROR(VLOOKUP(B214, merchants!$A$2:$D$41, 3, FALSE), "Merchant not found")</f>
        <v>entertainment</v>
      </c>
      <c r="E214" s="3" t="str">
        <f>IFERROR(VLOOKUP(B214, merchants!$A$2:$D$41, 4, FALSE), "Merchant not found")</f>
        <v>South</v>
      </c>
      <c r="F214" s="4">
        <f>ledger!D214</f>
        <v>46028.47152777778</v>
      </c>
      <c r="G214" s="5">
        <f>ledger!I214</f>
        <v>46028</v>
      </c>
      <c r="H214" s="3">
        <f>ledger!E214</f>
        <v>99</v>
      </c>
      <c r="I214" s="3" t="str">
        <f>ledger!F214</f>
        <v>UPI</v>
      </c>
      <c r="J214" s="3" t="str">
        <f>ledger!G214</f>
        <v>captured</v>
      </c>
      <c r="K214" s="9">
        <f>HLOOKUP(I214,Fee!$B$1:$E$2,2,FALSE())</f>
        <v>5.0000000000000001E-3</v>
      </c>
      <c r="L214" s="12">
        <f t="shared" si="6"/>
        <v>0.495</v>
      </c>
      <c r="M214" s="3">
        <f>SUMIFS(ledger!$E$2:$E$548, ledger!$C$2:$C$548, B214, ledger!$I$2:$I$548, G214)</f>
        <v>99</v>
      </c>
      <c r="N214" s="3" t="str">
        <f t="shared" si="7"/>
        <v>Standard</v>
      </c>
    </row>
    <row r="215" spans="1:14" x14ac:dyDescent="0.3">
      <c r="A215" s="3" t="str">
        <f>ledger!A215</f>
        <v>TXN100213</v>
      </c>
      <c r="B215" s="3">
        <f>ledger!C215</f>
        <v>40</v>
      </c>
      <c r="C215" s="4" t="str">
        <f>IFERROR(VLOOKUP(B215, merchants!$A$2:$D$41, 2, FALSE), "Merchant not found")</f>
        <v>Merchant_040</v>
      </c>
      <c r="D215" s="3" t="str">
        <f>IFERROR(VLOOKUP(B215, merchants!$A$2:$D$41, 3, FALSE), "Merchant not found")</f>
        <v>entertainment</v>
      </c>
      <c r="E215" s="3" t="str">
        <f>IFERROR(VLOOKUP(B215, merchants!$A$2:$D$41, 4, FALSE), "Merchant not found")</f>
        <v>South</v>
      </c>
      <c r="F215" s="4">
        <f>ledger!D215</f>
        <v>46025.04791666667</v>
      </c>
      <c r="G215" s="5">
        <f>ledger!I215</f>
        <v>46025</v>
      </c>
      <c r="H215" s="3">
        <f>ledger!E215</f>
        <v>49</v>
      </c>
      <c r="I215" s="3" t="str">
        <f>ledger!F215</f>
        <v>UPI</v>
      </c>
      <c r="J215" s="3" t="str">
        <f>ledger!G215</f>
        <v>captured</v>
      </c>
      <c r="K215" s="9">
        <f>HLOOKUP(I215,Fee!$B$1:$E$2,2,FALSE())</f>
        <v>5.0000000000000001E-3</v>
      </c>
      <c r="L215" s="12">
        <f t="shared" si="6"/>
        <v>0.245</v>
      </c>
      <c r="M215" s="3">
        <f>SUMIFS(ledger!$E$2:$E$548, ledger!$C$2:$C$548, B215, ledger!$I$2:$I$548, G215)</f>
        <v>49</v>
      </c>
      <c r="N215" s="3" t="str">
        <f t="shared" si="7"/>
        <v>Standard</v>
      </c>
    </row>
    <row r="216" spans="1:14" x14ac:dyDescent="0.3">
      <c r="A216" s="3" t="str">
        <f>ledger!A216</f>
        <v>TXN100214</v>
      </c>
      <c r="B216" s="3">
        <f>ledger!C216</f>
        <v>28</v>
      </c>
      <c r="C216" s="4" t="str">
        <f>IFERROR(VLOOKUP(B216, merchants!$A$2:$D$41, 2, FALSE), "Merchant not found")</f>
        <v>Merchant_028</v>
      </c>
      <c r="D216" s="3" t="str">
        <f>IFERROR(VLOOKUP(B216, merchants!$A$2:$D$41, 3, FALSE), "Merchant not found")</f>
        <v>ecommerce</v>
      </c>
      <c r="E216" s="3" t="str">
        <f>IFERROR(VLOOKUP(B216, merchants!$A$2:$D$41, 4, FALSE), "Merchant not found")</f>
        <v>South</v>
      </c>
      <c r="F216" s="4">
        <f>ledger!D216</f>
        <v>46044.095138888886</v>
      </c>
      <c r="G216" s="5">
        <f>ledger!I216</f>
        <v>46044</v>
      </c>
      <c r="H216" s="3">
        <f>ledger!E216</f>
        <v>99</v>
      </c>
      <c r="I216" s="3" t="str">
        <f>ledger!F216</f>
        <v>UPI</v>
      </c>
      <c r="J216" s="3" t="str">
        <f>ledger!G216</f>
        <v>captured</v>
      </c>
      <c r="K216" s="9">
        <f>HLOOKUP(I216,Fee!$B$1:$E$2,2,FALSE())</f>
        <v>5.0000000000000001E-3</v>
      </c>
      <c r="L216" s="12">
        <f t="shared" si="6"/>
        <v>0.495</v>
      </c>
      <c r="M216" s="3">
        <f>SUMIFS(ledger!$E$2:$E$548, ledger!$C$2:$C$548, B216, ledger!$I$2:$I$548, G216)</f>
        <v>99</v>
      </c>
      <c r="N216" s="3" t="str">
        <f t="shared" si="7"/>
        <v>Standard</v>
      </c>
    </row>
    <row r="217" spans="1:14" x14ac:dyDescent="0.3">
      <c r="A217" s="3" t="str">
        <f>ledger!A217</f>
        <v>TXN100215</v>
      </c>
      <c r="B217" s="3">
        <f>ledger!C217</f>
        <v>14</v>
      </c>
      <c r="C217" s="4" t="str">
        <f>IFERROR(VLOOKUP(B217, merchants!$A$2:$D$41, 2, FALSE), "Merchant not found")</f>
        <v>Merchant_014</v>
      </c>
      <c r="D217" s="3" t="str">
        <f>IFERROR(VLOOKUP(B217, merchants!$A$2:$D$41, 3, FALSE), "Merchant not found")</f>
        <v>grocery</v>
      </c>
      <c r="E217" s="3" t="str">
        <f>IFERROR(VLOOKUP(B217, merchants!$A$2:$D$41, 4, FALSE), "Merchant not found")</f>
        <v>East</v>
      </c>
      <c r="F217" s="4">
        <f>ledger!D217</f>
        <v>46042.601388888892</v>
      </c>
      <c r="G217" s="5">
        <f>ledger!I217</f>
        <v>46042</v>
      </c>
      <c r="H217" s="3">
        <f>ledger!E217</f>
        <v>299</v>
      </c>
      <c r="I217" s="3" t="str">
        <f>ledger!F217</f>
        <v>Wallet</v>
      </c>
      <c r="J217" s="3" t="str">
        <f>ledger!G217</f>
        <v>captured</v>
      </c>
      <c r="K217" s="9">
        <f>HLOOKUP(I217,Fee!$B$1:$E$2,2,FALSE())</f>
        <v>1.4999999999999999E-2</v>
      </c>
      <c r="L217" s="12">
        <f t="shared" si="6"/>
        <v>4.4849999999999994</v>
      </c>
      <c r="M217" s="3">
        <f>SUMIFS(ledger!$E$2:$E$548, ledger!$C$2:$C$548, B217, ledger!$I$2:$I$548, G217)</f>
        <v>299</v>
      </c>
      <c r="N217" s="3" t="str">
        <f t="shared" si="7"/>
        <v>Standard</v>
      </c>
    </row>
    <row r="218" spans="1:14" x14ac:dyDescent="0.3">
      <c r="A218" s="3" t="str">
        <f>ledger!A218</f>
        <v>TXN100216</v>
      </c>
      <c r="B218" s="3">
        <f>ledger!C218</f>
        <v>8</v>
      </c>
      <c r="C218" s="4" t="str">
        <f>IFERROR(VLOOKUP(B218, merchants!$A$2:$D$41, 2, FALSE), "Merchant not found")</f>
        <v>Merchant_008</v>
      </c>
      <c r="D218" s="3" t="str">
        <f>IFERROR(VLOOKUP(B218, merchants!$A$2:$D$41, 3, FALSE), "Merchant not found")</f>
        <v>food_delivery</v>
      </c>
      <c r="E218" s="3" t="str">
        <f>IFERROR(VLOOKUP(B218, merchants!$A$2:$D$41, 4, FALSE), "Merchant not found")</f>
        <v>North</v>
      </c>
      <c r="F218" s="4">
        <f>ledger!D218</f>
        <v>46039.140277777777</v>
      </c>
      <c r="G218" s="5">
        <f>ledger!I218</f>
        <v>46039</v>
      </c>
      <c r="H218" s="3">
        <f>ledger!E218</f>
        <v>299</v>
      </c>
      <c r="I218" s="3" t="str">
        <f>ledger!F218</f>
        <v>UPI</v>
      </c>
      <c r="J218" s="3" t="str">
        <f>ledger!G218</f>
        <v>captured</v>
      </c>
      <c r="K218" s="9">
        <f>HLOOKUP(I218,Fee!$B$1:$E$2,2,FALSE())</f>
        <v>5.0000000000000001E-3</v>
      </c>
      <c r="L218" s="12">
        <f t="shared" si="6"/>
        <v>1.4950000000000001</v>
      </c>
      <c r="M218" s="3">
        <f>SUMIFS(ledger!$E$2:$E$548, ledger!$C$2:$C$548, B218, ledger!$I$2:$I$548, G218)</f>
        <v>348</v>
      </c>
      <c r="N218" s="3" t="str">
        <f t="shared" si="7"/>
        <v>Standard</v>
      </c>
    </row>
    <row r="219" spans="1:14" x14ac:dyDescent="0.3">
      <c r="A219" s="3" t="str">
        <f>ledger!A219</f>
        <v>TXN100217</v>
      </c>
      <c r="B219" s="3">
        <f>ledger!C219</f>
        <v>34</v>
      </c>
      <c r="C219" s="4" t="str">
        <f>IFERROR(VLOOKUP(B219, merchants!$A$2:$D$41, 2, FALSE), "Merchant not found")</f>
        <v>Merchant_034</v>
      </c>
      <c r="D219" s="3" t="str">
        <f>IFERROR(VLOOKUP(B219, merchants!$A$2:$D$41, 3, FALSE), "Merchant not found")</f>
        <v>travel</v>
      </c>
      <c r="E219" s="3" t="str">
        <f>IFERROR(VLOOKUP(B219, merchants!$A$2:$D$41, 4, FALSE), "Merchant not found")</f>
        <v>South</v>
      </c>
      <c r="F219" s="4">
        <f>ledger!D219</f>
        <v>46044.900694444441</v>
      </c>
      <c r="G219" s="5">
        <f>ledger!I219</f>
        <v>46044</v>
      </c>
      <c r="H219" s="3">
        <f>ledger!E219</f>
        <v>299</v>
      </c>
      <c r="I219" s="3" t="str">
        <f>ledger!F219</f>
        <v>Wallet</v>
      </c>
      <c r="J219" s="3" t="str">
        <f>ledger!G219</f>
        <v>captured</v>
      </c>
      <c r="K219" s="9">
        <f>HLOOKUP(I219,Fee!$B$1:$E$2,2,FALSE())</f>
        <v>1.4999999999999999E-2</v>
      </c>
      <c r="L219" s="12">
        <f t="shared" si="6"/>
        <v>4.4849999999999994</v>
      </c>
      <c r="M219" s="3">
        <f>SUMIFS(ledger!$E$2:$E$548, ledger!$C$2:$C$548, B219, ledger!$I$2:$I$548, G219)</f>
        <v>299</v>
      </c>
      <c r="N219" s="3" t="str">
        <f t="shared" si="7"/>
        <v>Standard</v>
      </c>
    </row>
    <row r="220" spans="1:14" x14ac:dyDescent="0.3">
      <c r="A220" s="3" t="str">
        <f>ledger!A220</f>
        <v>TXN100218</v>
      </c>
      <c r="B220" s="3">
        <f>ledger!C220</f>
        <v>39</v>
      </c>
      <c r="C220" s="4" t="str">
        <f>IFERROR(VLOOKUP(B220, merchants!$A$2:$D$41, 2, FALSE), "Merchant not found")</f>
        <v>Merchant_039</v>
      </c>
      <c r="D220" s="3" t="str">
        <f>IFERROR(VLOOKUP(B220, merchants!$A$2:$D$41, 3, FALSE), "Merchant not found")</f>
        <v>entertainment</v>
      </c>
      <c r="E220" s="3" t="str">
        <f>IFERROR(VLOOKUP(B220, merchants!$A$2:$D$41, 4, FALSE), "Merchant not found")</f>
        <v>North</v>
      </c>
      <c r="F220" s="4">
        <f>ledger!D220</f>
        <v>46032.051388888889</v>
      </c>
      <c r="G220" s="5">
        <f>ledger!I220</f>
        <v>46032</v>
      </c>
      <c r="H220" s="3">
        <f>ledger!E220</f>
        <v>49</v>
      </c>
      <c r="I220" s="3" t="str">
        <f>ledger!F220</f>
        <v>UPI</v>
      </c>
      <c r="J220" s="3" t="str">
        <f>ledger!G220</f>
        <v>captured</v>
      </c>
      <c r="K220" s="9">
        <f>HLOOKUP(I220,Fee!$B$1:$E$2,2,FALSE())</f>
        <v>5.0000000000000001E-3</v>
      </c>
      <c r="L220" s="12">
        <f t="shared" si="6"/>
        <v>0.245</v>
      </c>
      <c r="M220" s="3">
        <f>SUMIFS(ledger!$E$2:$E$548, ledger!$C$2:$C$548, B220, ledger!$I$2:$I$548, G220)</f>
        <v>49</v>
      </c>
      <c r="N220" s="3" t="str">
        <f t="shared" si="7"/>
        <v>Standard</v>
      </c>
    </row>
    <row r="221" spans="1:14" x14ac:dyDescent="0.3">
      <c r="A221" s="3" t="str">
        <f>ledger!A221</f>
        <v>TXN100219</v>
      </c>
      <c r="B221" s="3">
        <f>ledger!C221</f>
        <v>9</v>
      </c>
      <c r="C221" s="4" t="str">
        <f>IFERROR(VLOOKUP(B221, merchants!$A$2:$D$41, 2, FALSE), "Merchant not found")</f>
        <v>Merchant_009</v>
      </c>
      <c r="D221" s="3" t="str">
        <f>IFERROR(VLOOKUP(B221, merchants!$A$2:$D$41, 3, FALSE), "Merchant not found")</f>
        <v>ecommerce</v>
      </c>
      <c r="E221" s="3" t="str">
        <f>IFERROR(VLOOKUP(B221, merchants!$A$2:$D$41, 4, FALSE), "Merchant not found")</f>
        <v>North</v>
      </c>
      <c r="F221" s="4">
        <f>ledger!D221</f>
        <v>46023.263194444444</v>
      </c>
      <c r="G221" s="5">
        <f>ledger!I221</f>
        <v>46023</v>
      </c>
      <c r="H221" s="3">
        <f>ledger!E221</f>
        <v>499</v>
      </c>
      <c r="I221" s="3" t="str">
        <f>ledger!F221</f>
        <v>Wallet</v>
      </c>
      <c r="J221" s="3" t="str">
        <f>ledger!G221</f>
        <v>captured</v>
      </c>
      <c r="K221" s="9">
        <f>HLOOKUP(I221,Fee!$B$1:$E$2,2,FALSE())</f>
        <v>1.4999999999999999E-2</v>
      </c>
      <c r="L221" s="12">
        <f t="shared" si="6"/>
        <v>7.4849999999999994</v>
      </c>
      <c r="M221" s="3">
        <f>SUMIFS(ledger!$E$2:$E$548, ledger!$C$2:$C$548, B221, ledger!$I$2:$I$548, G221)</f>
        <v>499</v>
      </c>
      <c r="N221" s="3" t="str">
        <f t="shared" si="7"/>
        <v>Standard</v>
      </c>
    </row>
    <row r="222" spans="1:14" x14ac:dyDescent="0.3">
      <c r="A222" s="3" t="str">
        <f>ledger!A222</f>
        <v>TXN100220</v>
      </c>
      <c r="B222" s="3">
        <f>ledger!C222</f>
        <v>1</v>
      </c>
      <c r="C222" s="4" t="str">
        <f>IFERROR(VLOOKUP(B222, merchants!$A$2:$D$41, 2, FALSE), "Merchant not found")</f>
        <v>Merchant_001</v>
      </c>
      <c r="D222" s="3" t="str">
        <f>IFERROR(VLOOKUP(B222, merchants!$A$2:$D$41, 3, FALSE), "Merchant not found")</f>
        <v>ecommerce</v>
      </c>
      <c r="E222" s="3" t="str">
        <f>IFERROR(VLOOKUP(B222, merchants!$A$2:$D$41, 4, FALSE), "Merchant not found")</f>
        <v>South</v>
      </c>
      <c r="F222" s="4">
        <f>ledger!D222</f>
        <v>46031.388888888891</v>
      </c>
      <c r="G222" s="5">
        <f>ledger!I222</f>
        <v>46031</v>
      </c>
      <c r="H222" s="3">
        <f>ledger!E222</f>
        <v>4999</v>
      </c>
      <c r="I222" s="3" t="str">
        <f>ledger!F222</f>
        <v>Wallet</v>
      </c>
      <c r="J222" s="3" t="str">
        <f>ledger!G222</f>
        <v>captured</v>
      </c>
      <c r="K222" s="9">
        <f>HLOOKUP(I222,Fee!$B$1:$E$2,2,FALSE())</f>
        <v>1.4999999999999999E-2</v>
      </c>
      <c r="L222" s="12">
        <f t="shared" si="6"/>
        <v>74.984999999999999</v>
      </c>
      <c r="M222" s="3">
        <f>SUMIFS(ledger!$E$2:$E$548, ledger!$C$2:$C$548, B222, ledger!$I$2:$I$548, G222)</f>
        <v>5048</v>
      </c>
      <c r="N222" s="3" t="str">
        <f t="shared" si="7"/>
        <v>High Value</v>
      </c>
    </row>
    <row r="223" spans="1:14" x14ac:dyDescent="0.3">
      <c r="A223" s="3" t="str">
        <f>ledger!A223</f>
        <v>TXN100221</v>
      </c>
      <c r="B223" s="3">
        <f>ledger!C223</f>
        <v>25</v>
      </c>
      <c r="C223" s="4" t="str">
        <f>IFERROR(VLOOKUP(B223, merchants!$A$2:$D$41, 2, FALSE), "Merchant not found")</f>
        <v>Merchant_025</v>
      </c>
      <c r="D223" s="3" t="str">
        <f>IFERROR(VLOOKUP(B223, merchants!$A$2:$D$41, 3, FALSE), "Merchant not found")</f>
        <v>travel</v>
      </c>
      <c r="E223" s="3" t="str">
        <f>IFERROR(VLOOKUP(B223, merchants!$A$2:$D$41, 4, FALSE), "Merchant not found")</f>
        <v>South</v>
      </c>
      <c r="F223" s="4">
        <f>ledger!D223</f>
        <v>46046.549305555556</v>
      </c>
      <c r="G223" s="5">
        <f>ledger!I223</f>
        <v>46046</v>
      </c>
      <c r="H223" s="3">
        <f>ledger!E223</f>
        <v>49</v>
      </c>
      <c r="I223" s="3" t="str">
        <f>ledger!F223</f>
        <v>UPI</v>
      </c>
      <c r="J223" s="3" t="str">
        <f>ledger!G223</f>
        <v>captured</v>
      </c>
      <c r="K223" s="9">
        <f>HLOOKUP(I223,Fee!$B$1:$E$2,2,FALSE())</f>
        <v>5.0000000000000001E-3</v>
      </c>
      <c r="L223" s="12">
        <f t="shared" si="6"/>
        <v>0.245</v>
      </c>
      <c r="M223" s="3">
        <f>SUMIFS(ledger!$E$2:$E$548, ledger!$C$2:$C$548, B223, ledger!$I$2:$I$548, G223)</f>
        <v>497</v>
      </c>
      <c r="N223" s="3" t="str">
        <f t="shared" si="7"/>
        <v>Standard</v>
      </c>
    </row>
    <row r="224" spans="1:14" x14ac:dyDescent="0.3">
      <c r="A224" s="3" t="str">
        <f>ledger!A224</f>
        <v>TXN100222</v>
      </c>
      <c r="B224" s="3">
        <f>ledger!C224</f>
        <v>23</v>
      </c>
      <c r="C224" s="4" t="str">
        <f>IFERROR(VLOOKUP(B224, merchants!$A$2:$D$41, 2, FALSE), "Merchant not found")</f>
        <v>Merchant_023</v>
      </c>
      <c r="D224" s="3" t="str">
        <f>IFERROR(VLOOKUP(B224, merchants!$A$2:$D$41, 3, FALSE), "Merchant not found")</f>
        <v>travel</v>
      </c>
      <c r="E224" s="3" t="str">
        <f>IFERROR(VLOOKUP(B224, merchants!$A$2:$D$41, 4, FALSE), "Merchant not found")</f>
        <v>North</v>
      </c>
      <c r="F224" s="4">
        <f>ledger!D224</f>
        <v>46045.313888888886</v>
      </c>
      <c r="G224" s="5">
        <f>ledger!I224</f>
        <v>46045</v>
      </c>
      <c r="H224" s="3">
        <f>ledger!E224</f>
        <v>49</v>
      </c>
      <c r="I224" s="3" t="str">
        <f>ledger!F224</f>
        <v>UPI</v>
      </c>
      <c r="J224" s="3" t="str">
        <f>ledger!G224</f>
        <v>captured</v>
      </c>
      <c r="K224" s="9">
        <f>HLOOKUP(I224,Fee!$B$1:$E$2,2,FALSE())</f>
        <v>5.0000000000000001E-3</v>
      </c>
      <c r="L224" s="12">
        <f t="shared" si="6"/>
        <v>0.245</v>
      </c>
      <c r="M224" s="3">
        <f>SUMIFS(ledger!$E$2:$E$548, ledger!$C$2:$C$548, B224, ledger!$I$2:$I$548, G224)</f>
        <v>247</v>
      </c>
      <c r="N224" s="3" t="str">
        <f t="shared" si="7"/>
        <v>Standard</v>
      </c>
    </row>
    <row r="225" spans="1:14" x14ac:dyDescent="0.3">
      <c r="A225" s="3" t="str">
        <f>ledger!A225</f>
        <v>TXN100223</v>
      </c>
      <c r="B225" s="3">
        <f>ledger!C225</f>
        <v>2</v>
      </c>
      <c r="C225" s="4" t="str">
        <f>IFERROR(VLOOKUP(B225, merchants!$A$2:$D$41, 2, FALSE), "Merchant not found")</f>
        <v>Merchant_002</v>
      </c>
      <c r="D225" s="3" t="str">
        <f>IFERROR(VLOOKUP(B225, merchants!$A$2:$D$41, 3, FALSE), "Merchant not found")</f>
        <v>grocery</v>
      </c>
      <c r="E225" s="3" t="str">
        <f>IFERROR(VLOOKUP(B225, merchants!$A$2:$D$41, 4, FALSE), "Merchant not found")</f>
        <v>West</v>
      </c>
      <c r="F225" s="4">
        <f>ledger!D225</f>
        <v>46035.959722222222</v>
      </c>
      <c r="G225" s="5">
        <f>ledger!I225</f>
        <v>46035</v>
      </c>
      <c r="H225" s="3">
        <f>ledger!E225</f>
        <v>49</v>
      </c>
      <c r="I225" s="3" t="str">
        <f>ledger!F225</f>
        <v>Card</v>
      </c>
      <c r="J225" s="3" t="str">
        <f>ledger!G225</f>
        <v>captured</v>
      </c>
      <c r="K225" s="9">
        <f>HLOOKUP(I225,Fee!$B$1:$E$2,2,FALSE())</f>
        <v>0.02</v>
      </c>
      <c r="L225" s="12">
        <f t="shared" si="6"/>
        <v>0.98</v>
      </c>
      <c r="M225" s="3">
        <f>SUMIFS(ledger!$E$2:$E$548, ledger!$C$2:$C$548, B225, ledger!$I$2:$I$548, G225)</f>
        <v>49</v>
      </c>
      <c r="N225" s="3" t="str">
        <f t="shared" si="7"/>
        <v>Standard</v>
      </c>
    </row>
    <row r="226" spans="1:14" x14ac:dyDescent="0.3">
      <c r="A226" s="3" t="str">
        <f>ledger!A226</f>
        <v>TXN100224</v>
      </c>
      <c r="B226" s="3">
        <f>ledger!C226</f>
        <v>37</v>
      </c>
      <c r="C226" s="4" t="str">
        <f>IFERROR(VLOOKUP(B226, merchants!$A$2:$D$41, 2, FALSE), "Merchant not found")</f>
        <v>Merchant_037</v>
      </c>
      <c r="D226" s="3" t="str">
        <f>IFERROR(VLOOKUP(B226, merchants!$A$2:$D$41, 3, FALSE), "Merchant not found")</f>
        <v>entertainment</v>
      </c>
      <c r="E226" s="3" t="str">
        <f>IFERROR(VLOOKUP(B226, merchants!$A$2:$D$41, 4, FALSE), "Merchant not found")</f>
        <v>South</v>
      </c>
      <c r="F226" s="4">
        <f>ledger!D226</f>
        <v>46052.121527777781</v>
      </c>
      <c r="G226" s="5">
        <f>ledger!I226</f>
        <v>46052</v>
      </c>
      <c r="H226" s="3">
        <f>ledger!E226</f>
        <v>299</v>
      </c>
      <c r="I226" s="3" t="str">
        <f>ledger!F226</f>
        <v>UPI</v>
      </c>
      <c r="J226" s="3" t="str">
        <f>ledger!G226</f>
        <v>captured</v>
      </c>
      <c r="K226" s="9">
        <f>HLOOKUP(I226,Fee!$B$1:$E$2,2,FALSE())</f>
        <v>5.0000000000000001E-3</v>
      </c>
      <c r="L226" s="12">
        <f t="shared" si="6"/>
        <v>1.4950000000000001</v>
      </c>
      <c r="M226" s="3">
        <f>SUMIFS(ledger!$E$2:$E$548, ledger!$C$2:$C$548, B226, ledger!$I$2:$I$548, G226)</f>
        <v>299</v>
      </c>
      <c r="N226" s="3" t="str">
        <f t="shared" si="7"/>
        <v>Standard</v>
      </c>
    </row>
    <row r="227" spans="1:14" x14ac:dyDescent="0.3">
      <c r="A227" s="3" t="str">
        <f>ledger!A227</f>
        <v>TXN100225</v>
      </c>
      <c r="B227" s="3">
        <f>ledger!C227</f>
        <v>27</v>
      </c>
      <c r="C227" s="4" t="str">
        <f>IFERROR(VLOOKUP(B227, merchants!$A$2:$D$41, 2, FALSE), "Merchant not found")</f>
        <v>Merchant_027</v>
      </c>
      <c r="D227" s="3" t="str">
        <f>IFERROR(VLOOKUP(B227, merchants!$A$2:$D$41, 3, FALSE), "Merchant not found")</f>
        <v>ecommerce</v>
      </c>
      <c r="E227" s="3" t="str">
        <f>IFERROR(VLOOKUP(B227, merchants!$A$2:$D$41, 4, FALSE), "Merchant not found")</f>
        <v>North</v>
      </c>
      <c r="F227" s="4">
        <f>ledger!D227</f>
        <v>46041.53125</v>
      </c>
      <c r="G227" s="5">
        <f>ledger!I227</f>
        <v>46041</v>
      </c>
      <c r="H227" s="3">
        <f>ledger!E227</f>
        <v>49</v>
      </c>
      <c r="I227" s="3" t="str">
        <f>ledger!F227</f>
        <v>UPI</v>
      </c>
      <c r="J227" s="3" t="str">
        <f>ledger!G227</f>
        <v>chargeback</v>
      </c>
      <c r="K227" s="9">
        <f>HLOOKUP(I227,Fee!$B$1:$E$2,2,FALSE())</f>
        <v>5.0000000000000001E-3</v>
      </c>
      <c r="L227" s="12">
        <f t="shared" si="6"/>
        <v>0.245</v>
      </c>
      <c r="M227" s="3">
        <f>SUMIFS(ledger!$E$2:$E$548, ledger!$C$2:$C$548, B227, ledger!$I$2:$I$548, G227)</f>
        <v>49</v>
      </c>
      <c r="N227" s="3" t="str">
        <f t="shared" si="7"/>
        <v>Standard</v>
      </c>
    </row>
    <row r="228" spans="1:14" x14ac:dyDescent="0.3">
      <c r="A228" s="3" t="str">
        <f>ledger!A228</f>
        <v>TXN100226</v>
      </c>
      <c r="B228" s="3">
        <f>ledger!C228</f>
        <v>11</v>
      </c>
      <c r="C228" s="4" t="str">
        <f>IFERROR(VLOOKUP(B228, merchants!$A$2:$D$41, 2, FALSE), "Merchant not found")</f>
        <v>Merchant_011</v>
      </c>
      <c r="D228" s="3" t="str">
        <f>IFERROR(VLOOKUP(B228, merchants!$A$2:$D$41, 3, FALSE), "Merchant not found")</f>
        <v>ecommerce</v>
      </c>
      <c r="E228" s="3" t="str">
        <f>IFERROR(VLOOKUP(B228, merchants!$A$2:$D$41, 4, FALSE), "Merchant not found")</f>
        <v>North</v>
      </c>
      <c r="F228" s="4">
        <f>ledger!D228</f>
        <v>46026.500694444447</v>
      </c>
      <c r="G228" s="5">
        <f>ledger!I228</f>
        <v>46026</v>
      </c>
      <c r="H228" s="3">
        <f>ledger!E228</f>
        <v>1499</v>
      </c>
      <c r="I228" s="3" t="str">
        <f>ledger!F228</f>
        <v>Card</v>
      </c>
      <c r="J228" s="3" t="str">
        <f>ledger!G228</f>
        <v>failed</v>
      </c>
      <c r="K228" s="9">
        <f>HLOOKUP(I228,Fee!$B$1:$E$2,2,FALSE())</f>
        <v>0.02</v>
      </c>
      <c r="L228" s="12">
        <f t="shared" si="6"/>
        <v>29.98</v>
      </c>
      <c r="M228" s="3">
        <f>SUMIFS(ledger!$E$2:$E$548, ledger!$C$2:$C$548, B228, ledger!$I$2:$I$548, G228)</f>
        <v>1499</v>
      </c>
      <c r="N228" s="3" t="str">
        <f t="shared" si="7"/>
        <v>Standard</v>
      </c>
    </row>
    <row r="229" spans="1:14" x14ac:dyDescent="0.3">
      <c r="A229" s="3" t="str">
        <f>ledger!A229</f>
        <v>TXN100227</v>
      </c>
      <c r="B229" s="3">
        <f>ledger!C229</f>
        <v>6</v>
      </c>
      <c r="C229" s="4" t="str">
        <f>IFERROR(VLOOKUP(B229, merchants!$A$2:$D$41, 2, FALSE), "Merchant not found")</f>
        <v>Merchant_006</v>
      </c>
      <c r="D229" s="3" t="str">
        <f>IFERROR(VLOOKUP(B229, merchants!$A$2:$D$41, 3, FALSE), "Merchant not found")</f>
        <v>food_delivery</v>
      </c>
      <c r="E229" s="3" t="str">
        <f>IFERROR(VLOOKUP(B229, merchants!$A$2:$D$41, 4, FALSE), "Merchant not found")</f>
        <v>South</v>
      </c>
      <c r="F229" s="4">
        <f>ledger!D229</f>
        <v>46037.956944444442</v>
      </c>
      <c r="G229" s="5">
        <f>ledger!I229</f>
        <v>46037</v>
      </c>
      <c r="H229" s="3">
        <f>ledger!E229</f>
        <v>49</v>
      </c>
      <c r="I229" s="3" t="str">
        <f>ledger!F229</f>
        <v>Wallet</v>
      </c>
      <c r="J229" s="3" t="str">
        <f>ledger!G229</f>
        <v>captured</v>
      </c>
      <c r="K229" s="9">
        <f>HLOOKUP(I229,Fee!$B$1:$E$2,2,FALSE())</f>
        <v>1.4999999999999999E-2</v>
      </c>
      <c r="L229" s="12">
        <f t="shared" si="6"/>
        <v>0.73499999999999999</v>
      </c>
      <c r="M229" s="3">
        <f>SUMIFS(ledger!$E$2:$E$548, ledger!$C$2:$C$548, B229, ledger!$I$2:$I$548, G229)</f>
        <v>49</v>
      </c>
      <c r="N229" s="3" t="str">
        <f t="shared" si="7"/>
        <v>Standard</v>
      </c>
    </row>
    <row r="230" spans="1:14" x14ac:dyDescent="0.3">
      <c r="A230" s="3" t="str">
        <f>ledger!A230</f>
        <v>TXN100228</v>
      </c>
      <c r="B230" s="3">
        <f>ledger!C230</f>
        <v>38</v>
      </c>
      <c r="C230" s="4" t="str">
        <f>IFERROR(VLOOKUP(B230, merchants!$A$2:$D$41, 2, FALSE), "Merchant not found")</f>
        <v>Merchant_038</v>
      </c>
      <c r="D230" s="3" t="str">
        <f>IFERROR(VLOOKUP(B230, merchants!$A$2:$D$41, 3, FALSE), "Merchant not found")</f>
        <v>grocery</v>
      </c>
      <c r="E230" s="3" t="str">
        <f>IFERROR(VLOOKUP(B230, merchants!$A$2:$D$41, 4, FALSE), "Merchant not found")</f>
        <v>East</v>
      </c>
      <c r="F230" s="4">
        <f>ledger!D230</f>
        <v>46050.135416666664</v>
      </c>
      <c r="G230" s="5">
        <f>ledger!I230</f>
        <v>46050</v>
      </c>
      <c r="H230" s="3">
        <f>ledger!E230</f>
        <v>299</v>
      </c>
      <c r="I230" s="3" t="str">
        <f>ledger!F230</f>
        <v>Wallet</v>
      </c>
      <c r="J230" s="3" t="str">
        <f>ledger!G230</f>
        <v>failed</v>
      </c>
      <c r="K230" s="9">
        <f>HLOOKUP(I230,Fee!$B$1:$E$2,2,FALSE())</f>
        <v>1.4999999999999999E-2</v>
      </c>
      <c r="L230" s="12">
        <f t="shared" si="6"/>
        <v>4.4849999999999994</v>
      </c>
      <c r="M230" s="3">
        <f>SUMIFS(ledger!$E$2:$E$548, ledger!$C$2:$C$548, B230, ledger!$I$2:$I$548, G230)</f>
        <v>299</v>
      </c>
      <c r="N230" s="3" t="str">
        <f t="shared" si="7"/>
        <v>Standard</v>
      </c>
    </row>
    <row r="231" spans="1:14" x14ac:dyDescent="0.3">
      <c r="A231" s="3" t="str">
        <f>ledger!A231</f>
        <v>TXN100229</v>
      </c>
      <c r="B231" s="3">
        <f>ledger!C231</f>
        <v>22</v>
      </c>
      <c r="C231" s="4" t="str">
        <f>IFERROR(VLOOKUP(B231, merchants!$A$2:$D$41, 2, FALSE), "Merchant not found")</f>
        <v>Merchant_022</v>
      </c>
      <c r="D231" s="3" t="str">
        <f>IFERROR(VLOOKUP(B231, merchants!$A$2:$D$41, 3, FALSE), "Merchant not found")</f>
        <v>travel</v>
      </c>
      <c r="E231" s="3" t="str">
        <f>IFERROR(VLOOKUP(B231, merchants!$A$2:$D$41, 4, FALSE), "Merchant not found")</f>
        <v>South</v>
      </c>
      <c r="F231" s="4">
        <f>ledger!D231</f>
        <v>46039.100694444445</v>
      </c>
      <c r="G231" s="5">
        <f>ledger!I231</f>
        <v>46039</v>
      </c>
      <c r="H231" s="3">
        <f>ledger!E231</f>
        <v>799</v>
      </c>
      <c r="I231" s="3" t="str">
        <f>ledger!F231</f>
        <v>UPI</v>
      </c>
      <c r="J231" s="3" t="str">
        <f>ledger!G231</f>
        <v>captured</v>
      </c>
      <c r="K231" s="9">
        <f>HLOOKUP(I231,Fee!$B$1:$E$2,2,FALSE())</f>
        <v>5.0000000000000001E-3</v>
      </c>
      <c r="L231" s="12">
        <f t="shared" si="6"/>
        <v>3.9950000000000001</v>
      </c>
      <c r="M231" s="3">
        <f>SUMIFS(ledger!$E$2:$E$548, ledger!$C$2:$C$548, B231, ledger!$I$2:$I$548, G231)</f>
        <v>1598</v>
      </c>
      <c r="N231" s="3" t="str">
        <f t="shared" si="7"/>
        <v>Standard</v>
      </c>
    </row>
    <row r="232" spans="1:14" x14ac:dyDescent="0.3">
      <c r="A232" s="3" t="str">
        <f>ledger!A232</f>
        <v>TXN100230</v>
      </c>
      <c r="B232" s="3">
        <f>ledger!C232</f>
        <v>8</v>
      </c>
      <c r="C232" s="4" t="str">
        <f>IFERROR(VLOOKUP(B232, merchants!$A$2:$D$41, 2, FALSE), "Merchant not found")</f>
        <v>Merchant_008</v>
      </c>
      <c r="D232" s="3" t="str">
        <f>IFERROR(VLOOKUP(B232, merchants!$A$2:$D$41, 3, FALSE), "Merchant not found")</f>
        <v>food_delivery</v>
      </c>
      <c r="E232" s="3" t="str">
        <f>IFERROR(VLOOKUP(B232, merchants!$A$2:$D$41, 4, FALSE), "Merchant not found")</f>
        <v>North</v>
      </c>
      <c r="F232" s="4">
        <f>ledger!D232</f>
        <v>46033.211111111108</v>
      </c>
      <c r="G232" s="5">
        <f>ledger!I232</f>
        <v>46033</v>
      </c>
      <c r="H232" s="3">
        <f>ledger!E232</f>
        <v>149</v>
      </c>
      <c r="I232" s="3" t="str">
        <f>ledger!F232</f>
        <v>UPI</v>
      </c>
      <c r="J232" s="3" t="str">
        <f>ledger!G232</f>
        <v>captured</v>
      </c>
      <c r="K232" s="9">
        <f>HLOOKUP(I232,Fee!$B$1:$E$2,2,FALSE())</f>
        <v>5.0000000000000001E-3</v>
      </c>
      <c r="L232" s="12">
        <f t="shared" si="6"/>
        <v>0.745</v>
      </c>
      <c r="M232" s="3">
        <f>SUMIFS(ledger!$E$2:$E$548, ledger!$C$2:$C$548, B232, ledger!$I$2:$I$548, G232)</f>
        <v>149</v>
      </c>
      <c r="N232" s="3" t="str">
        <f t="shared" si="7"/>
        <v>Standard</v>
      </c>
    </row>
    <row r="233" spans="1:14" x14ac:dyDescent="0.3">
      <c r="A233" s="3" t="str">
        <f>ledger!A233</f>
        <v>TXN100231</v>
      </c>
      <c r="B233" s="3">
        <f>ledger!C233</f>
        <v>23</v>
      </c>
      <c r="C233" s="4" t="str">
        <f>IFERROR(VLOOKUP(B233, merchants!$A$2:$D$41, 2, FALSE), "Merchant not found")</f>
        <v>Merchant_023</v>
      </c>
      <c r="D233" s="3" t="str">
        <f>IFERROR(VLOOKUP(B233, merchants!$A$2:$D$41, 3, FALSE), "Merchant not found")</f>
        <v>travel</v>
      </c>
      <c r="E233" s="3" t="str">
        <f>IFERROR(VLOOKUP(B233, merchants!$A$2:$D$41, 4, FALSE), "Merchant not found")</f>
        <v>North</v>
      </c>
      <c r="F233" s="4">
        <f>ledger!D233</f>
        <v>46039.289583333331</v>
      </c>
      <c r="G233" s="5">
        <f>ledger!I233</f>
        <v>46039</v>
      </c>
      <c r="H233" s="3">
        <f>ledger!E233</f>
        <v>49</v>
      </c>
      <c r="I233" s="3" t="str">
        <f>ledger!F233</f>
        <v>Wallet</v>
      </c>
      <c r="J233" s="3" t="str">
        <f>ledger!G233</f>
        <v>captured</v>
      </c>
      <c r="K233" s="9">
        <f>HLOOKUP(I233,Fee!$B$1:$E$2,2,FALSE())</f>
        <v>1.4999999999999999E-2</v>
      </c>
      <c r="L233" s="12">
        <f t="shared" si="6"/>
        <v>0.73499999999999999</v>
      </c>
      <c r="M233" s="3">
        <f>SUMIFS(ledger!$E$2:$E$548, ledger!$C$2:$C$548, B233, ledger!$I$2:$I$548, G233)</f>
        <v>49</v>
      </c>
      <c r="N233" s="3" t="str">
        <f t="shared" si="7"/>
        <v>Standard</v>
      </c>
    </row>
    <row r="234" spans="1:14" x14ac:dyDescent="0.3">
      <c r="A234" s="3" t="str">
        <f>ledger!A234</f>
        <v>TXN100232</v>
      </c>
      <c r="B234" s="3">
        <f>ledger!C234</f>
        <v>16</v>
      </c>
      <c r="C234" s="4" t="str">
        <f>IFERROR(VLOOKUP(B234, merchants!$A$2:$D$41, 2, FALSE), "Merchant not found")</f>
        <v>Merchant_016</v>
      </c>
      <c r="D234" s="3" t="str">
        <f>IFERROR(VLOOKUP(B234, merchants!$A$2:$D$41, 3, FALSE), "Merchant not found")</f>
        <v>bill_payment</v>
      </c>
      <c r="E234" s="3" t="str">
        <f>IFERROR(VLOOKUP(B234, merchants!$A$2:$D$41, 4, FALSE), "Merchant not found")</f>
        <v>West</v>
      </c>
      <c r="F234" s="4">
        <f>ledger!D234</f>
        <v>46049.869444444441</v>
      </c>
      <c r="G234" s="5">
        <f>ledger!I234</f>
        <v>46049</v>
      </c>
      <c r="H234" s="3">
        <f>ledger!E234</f>
        <v>299</v>
      </c>
      <c r="I234" s="3" t="str">
        <f>ledger!F234</f>
        <v>UPI</v>
      </c>
      <c r="J234" s="3" t="str">
        <f>ledger!G234</f>
        <v>captured</v>
      </c>
      <c r="K234" s="9">
        <f>HLOOKUP(I234,Fee!$B$1:$E$2,2,FALSE())</f>
        <v>5.0000000000000001E-3</v>
      </c>
      <c r="L234" s="12">
        <f t="shared" si="6"/>
        <v>1.4950000000000001</v>
      </c>
      <c r="M234" s="3">
        <f>SUMIFS(ledger!$E$2:$E$548, ledger!$C$2:$C$548, B234, ledger!$I$2:$I$548, G234)</f>
        <v>348</v>
      </c>
      <c r="N234" s="3" t="str">
        <f t="shared" si="7"/>
        <v>Standard</v>
      </c>
    </row>
    <row r="235" spans="1:14" x14ac:dyDescent="0.3">
      <c r="A235" s="3" t="str">
        <f>ledger!A235</f>
        <v>TXN100233</v>
      </c>
      <c r="B235" s="3">
        <f>ledger!C235</f>
        <v>39</v>
      </c>
      <c r="C235" s="4" t="str">
        <f>IFERROR(VLOOKUP(B235, merchants!$A$2:$D$41, 2, FALSE), "Merchant not found")</f>
        <v>Merchant_039</v>
      </c>
      <c r="D235" s="3" t="str">
        <f>IFERROR(VLOOKUP(B235, merchants!$A$2:$D$41, 3, FALSE), "Merchant not found")</f>
        <v>entertainment</v>
      </c>
      <c r="E235" s="3" t="str">
        <f>IFERROR(VLOOKUP(B235, merchants!$A$2:$D$41, 4, FALSE), "Merchant not found")</f>
        <v>North</v>
      </c>
      <c r="F235" s="4">
        <f>ledger!D235</f>
        <v>46027.341666666667</v>
      </c>
      <c r="G235" s="5">
        <f>ledger!I235</f>
        <v>46027</v>
      </c>
      <c r="H235" s="3">
        <f>ledger!E235</f>
        <v>299</v>
      </c>
      <c r="I235" s="3" t="str">
        <f>ledger!F235</f>
        <v>UPI</v>
      </c>
      <c r="J235" s="3" t="str">
        <f>ledger!G235</f>
        <v>captured</v>
      </c>
      <c r="K235" s="9">
        <f>HLOOKUP(I235,Fee!$B$1:$E$2,2,FALSE())</f>
        <v>5.0000000000000001E-3</v>
      </c>
      <c r="L235" s="12">
        <f t="shared" si="6"/>
        <v>1.4950000000000001</v>
      </c>
      <c r="M235" s="3">
        <f>SUMIFS(ledger!$E$2:$E$548, ledger!$C$2:$C$548, B235, ledger!$I$2:$I$548, G235)</f>
        <v>299</v>
      </c>
      <c r="N235" s="3" t="str">
        <f t="shared" si="7"/>
        <v>Standard</v>
      </c>
    </row>
    <row r="236" spans="1:14" x14ac:dyDescent="0.3">
      <c r="A236" s="3" t="str">
        <f>ledger!A236</f>
        <v>TXN100234</v>
      </c>
      <c r="B236" s="3">
        <f>ledger!C236</f>
        <v>32</v>
      </c>
      <c r="C236" s="4" t="str">
        <f>IFERROR(VLOOKUP(B236, merchants!$A$2:$D$41, 2, FALSE), "Merchant not found")</f>
        <v>Merchant_032</v>
      </c>
      <c r="D236" s="3" t="str">
        <f>IFERROR(VLOOKUP(B236, merchants!$A$2:$D$41, 3, FALSE), "Merchant not found")</f>
        <v>food_delivery</v>
      </c>
      <c r="E236" s="3" t="str">
        <f>IFERROR(VLOOKUP(B236, merchants!$A$2:$D$41, 4, FALSE), "Merchant not found")</f>
        <v>West</v>
      </c>
      <c r="F236" s="4">
        <f>ledger!D236</f>
        <v>46047.836111111108</v>
      </c>
      <c r="G236" s="5">
        <f>ledger!I236</f>
        <v>46047</v>
      </c>
      <c r="H236" s="3">
        <f>ledger!E236</f>
        <v>49</v>
      </c>
      <c r="I236" s="3" t="str">
        <f>ledger!F236</f>
        <v>UPI</v>
      </c>
      <c r="J236" s="3" t="str">
        <f>ledger!G236</f>
        <v>captured</v>
      </c>
      <c r="K236" s="9">
        <f>HLOOKUP(I236,Fee!$B$1:$E$2,2,FALSE())</f>
        <v>5.0000000000000001E-3</v>
      </c>
      <c r="L236" s="12">
        <f t="shared" si="6"/>
        <v>0.245</v>
      </c>
      <c r="M236" s="3">
        <f>SUMIFS(ledger!$E$2:$E$548, ledger!$C$2:$C$548, B236, ledger!$I$2:$I$548, G236)</f>
        <v>49</v>
      </c>
      <c r="N236" s="3" t="str">
        <f t="shared" si="7"/>
        <v>Standard</v>
      </c>
    </row>
    <row r="237" spans="1:14" x14ac:dyDescent="0.3">
      <c r="A237" s="3" t="str">
        <f>ledger!A237</f>
        <v>TXN100235</v>
      </c>
      <c r="B237" s="3">
        <f>ledger!C237</f>
        <v>29</v>
      </c>
      <c r="C237" s="4" t="str">
        <f>IFERROR(VLOOKUP(B237, merchants!$A$2:$D$41, 2, FALSE), "Merchant not found")</f>
        <v>Merchant_029</v>
      </c>
      <c r="D237" s="3" t="str">
        <f>IFERROR(VLOOKUP(B237, merchants!$A$2:$D$41, 3, FALSE), "Merchant not found")</f>
        <v>ecommerce</v>
      </c>
      <c r="E237" s="3" t="str">
        <f>IFERROR(VLOOKUP(B237, merchants!$A$2:$D$41, 4, FALSE), "Merchant not found")</f>
        <v>North</v>
      </c>
      <c r="F237" s="4">
        <f>ledger!D237</f>
        <v>46047.783333333333</v>
      </c>
      <c r="G237" s="5">
        <f>ledger!I237</f>
        <v>46047</v>
      </c>
      <c r="H237" s="3">
        <f>ledger!E237</f>
        <v>99</v>
      </c>
      <c r="I237" s="3" t="str">
        <f>ledger!F237</f>
        <v>Card</v>
      </c>
      <c r="J237" s="3" t="str">
        <f>ledger!G237</f>
        <v>chargeback</v>
      </c>
      <c r="K237" s="9">
        <f>HLOOKUP(I237,Fee!$B$1:$E$2,2,FALSE())</f>
        <v>0.02</v>
      </c>
      <c r="L237" s="12">
        <f t="shared" si="6"/>
        <v>1.98</v>
      </c>
      <c r="M237" s="3">
        <f>SUMIFS(ledger!$E$2:$E$548, ledger!$C$2:$C$548, B237, ledger!$I$2:$I$548, G237)</f>
        <v>3896</v>
      </c>
      <c r="N237" s="3" t="str">
        <f t="shared" si="7"/>
        <v>Standard</v>
      </c>
    </row>
    <row r="238" spans="1:14" x14ac:dyDescent="0.3">
      <c r="A238" s="3" t="str">
        <f>ledger!A238</f>
        <v>TXN100236</v>
      </c>
      <c r="B238" s="3">
        <f>ledger!C238</f>
        <v>40</v>
      </c>
      <c r="C238" s="4" t="str">
        <f>IFERROR(VLOOKUP(B238, merchants!$A$2:$D$41, 2, FALSE), "Merchant not found")</f>
        <v>Merchant_040</v>
      </c>
      <c r="D238" s="3" t="str">
        <f>IFERROR(VLOOKUP(B238, merchants!$A$2:$D$41, 3, FALSE), "Merchant not found")</f>
        <v>entertainment</v>
      </c>
      <c r="E238" s="3" t="str">
        <f>IFERROR(VLOOKUP(B238, merchants!$A$2:$D$41, 4, FALSE), "Merchant not found")</f>
        <v>South</v>
      </c>
      <c r="F238" s="4">
        <f>ledger!D238</f>
        <v>46052.77847222222</v>
      </c>
      <c r="G238" s="5">
        <f>ledger!I238</f>
        <v>46052</v>
      </c>
      <c r="H238" s="3">
        <f>ledger!E238</f>
        <v>499</v>
      </c>
      <c r="I238" s="3" t="str">
        <f>ledger!F238</f>
        <v>Card</v>
      </c>
      <c r="J238" s="3" t="str">
        <f>ledger!G238</f>
        <v>captured</v>
      </c>
      <c r="K238" s="9">
        <f>HLOOKUP(I238,Fee!$B$1:$E$2,2,FALSE())</f>
        <v>0.02</v>
      </c>
      <c r="L238" s="12">
        <f t="shared" si="6"/>
        <v>9.98</v>
      </c>
      <c r="M238" s="3">
        <f>SUMIFS(ledger!$E$2:$E$548, ledger!$C$2:$C$548, B238, ledger!$I$2:$I$548, G238)</f>
        <v>499</v>
      </c>
      <c r="N238" s="3" t="str">
        <f t="shared" si="7"/>
        <v>Standard</v>
      </c>
    </row>
    <row r="239" spans="1:14" x14ac:dyDescent="0.3">
      <c r="A239" s="3" t="str">
        <f>ledger!A239</f>
        <v>TXN100237</v>
      </c>
      <c r="B239" s="3">
        <f>ledger!C239</f>
        <v>29</v>
      </c>
      <c r="C239" s="4" t="str">
        <f>IFERROR(VLOOKUP(B239, merchants!$A$2:$D$41, 2, FALSE), "Merchant not found")</f>
        <v>Merchant_029</v>
      </c>
      <c r="D239" s="3" t="str">
        <f>IFERROR(VLOOKUP(B239, merchants!$A$2:$D$41, 3, FALSE), "Merchant not found")</f>
        <v>ecommerce</v>
      </c>
      <c r="E239" s="3" t="str">
        <f>IFERROR(VLOOKUP(B239, merchants!$A$2:$D$41, 4, FALSE), "Merchant not found")</f>
        <v>North</v>
      </c>
      <c r="F239" s="4">
        <f>ledger!D239</f>
        <v>46050.847222222219</v>
      </c>
      <c r="G239" s="5">
        <f>ledger!I239</f>
        <v>46050</v>
      </c>
      <c r="H239" s="3">
        <f>ledger!E239</f>
        <v>149</v>
      </c>
      <c r="I239" s="3" t="str">
        <f>ledger!F239</f>
        <v>UPI</v>
      </c>
      <c r="J239" s="3" t="str">
        <f>ledger!G239</f>
        <v>captured</v>
      </c>
      <c r="K239" s="9">
        <f>HLOOKUP(I239,Fee!$B$1:$E$2,2,FALSE())</f>
        <v>5.0000000000000001E-3</v>
      </c>
      <c r="L239" s="12">
        <f t="shared" si="6"/>
        <v>0.745</v>
      </c>
      <c r="M239" s="3">
        <f>SUMIFS(ledger!$E$2:$E$548, ledger!$C$2:$C$548, B239, ledger!$I$2:$I$548, G239)</f>
        <v>149</v>
      </c>
      <c r="N239" s="3" t="str">
        <f t="shared" si="7"/>
        <v>Standard</v>
      </c>
    </row>
    <row r="240" spans="1:14" x14ac:dyDescent="0.3">
      <c r="A240" s="3" t="str">
        <f>ledger!A240</f>
        <v>TXN100238</v>
      </c>
      <c r="B240" s="3">
        <f>ledger!C240</f>
        <v>18</v>
      </c>
      <c r="C240" s="4" t="str">
        <f>IFERROR(VLOOKUP(B240, merchants!$A$2:$D$41, 2, FALSE), "Merchant not found")</f>
        <v>Merchant_018</v>
      </c>
      <c r="D240" s="3" t="str">
        <f>IFERROR(VLOOKUP(B240, merchants!$A$2:$D$41, 3, FALSE), "Merchant not found")</f>
        <v>grocery</v>
      </c>
      <c r="E240" s="3" t="str">
        <f>IFERROR(VLOOKUP(B240, merchants!$A$2:$D$41, 4, FALSE), "Merchant not found")</f>
        <v>West</v>
      </c>
      <c r="F240" s="4">
        <f>ledger!D240</f>
        <v>46038.611111111109</v>
      </c>
      <c r="G240" s="5">
        <f>ledger!I240</f>
        <v>46038</v>
      </c>
      <c r="H240" s="3">
        <f>ledger!E240</f>
        <v>2999</v>
      </c>
      <c r="I240" s="3" t="str">
        <f>ledger!F240</f>
        <v>Card</v>
      </c>
      <c r="J240" s="3" t="str">
        <f>ledger!G240</f>
        <v>captured</v>
      </c>
      <c r="K240" s="9">
        <f>HLOOKUP(I240,Fee!$B$1:$E$2,2,FALSE())</f>
        <v>0.02</v>
      </c>
      <c r="L240" s="12">
        <f t="shared" si="6"/>
        <v>59.980000000000004</v>
      </c>
      <c r="M240" s="3">
        <f>SUMIFS(ledger!$E$2:$E$548, ledger!$C$2:$C$548, B240, ledger!$I$2:$I$548, G240)</f>
        <v>3148</v>
      </c>
      <c r="N240" s="3" t="str">
        <f t="shared" si="7"/>
        <v>Standard</v>
      </c>
    </row>
    <row r="241" spans="1:14" x14ac:dyDescent="0.3">
      <c r="A241" s="3" t="str">
        <f>ledger!A241</f>
        <v>TXN100239</v>
      </c>
      <c r="B241" s="3">
        <f>ledger!C241</f>
        <v>20</v>
      </c>
      <c r="C241" s="4" t="str">
        <f>IFERROR(VLOOKUP(B241, merchants!$A$2:$D$41, 2, FALSE), "Merchant not found")</f>
        <v>Merchant_020</v>
      </c>
      <c r="D241" s="3" t="str">
        <f>IFERROR(VLOOKUP(B241, merchants!$A$2:$D$41, 3, FALSE), "Merchant not found")</f>
        <v>food_delivery</v>
      </c>
      <c r="E241" s="3" t="str">
        <f>IFERROR(VLOOKUP(B241, merchants!$A$2:$D$41, 4, FALSE), "Merchant not found")</f>
        <v>East</v>
      </c>
      <c r="F241" s="4">
        <f>ledger!D241</f>
        <v>46024.480555555558</v>
      </c>
      <c r="G241" s="5">
        <f>ledger!I241</f>
        <v>46024</v>
      </c>
      <c r="H241" s="3">
        <f>ledger!E241</f>
        <v>49</v>
      </c>
      <c r="I241" s="3" t="str">
        <f>ledger!F241</f>
        <v>Wallet</v>
      </c>
      <c r="J241" s="3" t="str">
        <f>ledger!G241</f>
        <v>failed</v>
      </c>
      <c r="K241" s="9">
        <f>HLOOKUP(I241,Fee!$B$1:$E$2,2,FALSE())</f>
        <v>1.4999999999999999E-2</v>
      </c>
      <c r="L241" s="12">
        <f t="shared" si="6"/>
        <v>0.73499999999999999</v>
      </c>
      <c r="M241" s="3">
        <f>SUMIFS(ledger!$E$2:$E$548, ledger!$C$2:$C$548, B241, ledger!$I$2:$I$548, G241)</f>
        <v>49</v>
      </c>
      <c r="N241" s="3" t="str">
        <f t="shared" si="7"/>
        <v>Standard</v>
      </c>
    </row>
    <row r="242" spans="1:14" x14ac:dyDescent="0.3">
      <c r="A242" s="3" t="str">
        <f>ledger!A242</f>
        <v>TXN100240</v>
      </c>
      <c r="B242" s="3">
        <f>ledger!C242</f>
        <v>19</v>
      </c>
      <c r="C242" s="4" t="str">
        <f>IFERROR(VLOOKUP(B242, merchants!$A$2:$D$41, 2, FALSE), "Merchant not found")</f>
        <v>Merchant_019</v>
      </c>
      <c r="D242" s="3" t="str">
        <f>IFERROR(VLOOKUP(B242, merchants!$A$2:$D$41, 3, FALSE), "Merchant not found")</f>
        <v>grocery</v>
      </c>
      <c r="E242" s="3" t="str">
        <f>IFERROR(VLOOKUP(B242, merchants!$A$2:$D$41, 4, FALSE), "Merchant not found")</f>
        <v>North</v>
      </c>
      <c r="F242" s="4">
        <f>ledger!D242</f>
        <v>46037.043749999997</v>
      </c>
      <c r="G242" s="5">
        <f>ledger!I242</f>
        <v>46037</v>
      </c>
      <c r="H242" s="3">
        <f>ledger!E242</f>
        <v>99</v>
      </c>
      <c r="I242" s="3" t="str">
        <f>ledger!F242</f>
        <v>UPI</v>
      </c>
      <c r="J242" s="3" t="str">
        <f>ledger!G242</f>
        <v>failed</v>
      </c>
      <c r="K242" s="9">
        <f>HLOOKUP(I242,Fee!$B$1:$E$2,2,FALSE())</f>
        <v>5.0000000000000001E-3</v>
      </c>
      <c r="L242" s="12">
        <f t="shared" si="6"/>
        <v>0.495</v>
      </c>
      <c r="M242" s="3">
        <f>SUMIFS(ledger!$E$2:$E$548, ledger!$C$2:$C$548, B242, ledger!$I$2:$I$548, G242)</f>
        <v>398</v>
      </c>
      <c r="N242" s="3" t="str">
        <f t="shared" si="7"/>
        <v>Standard</v>
      </c>
    </row>
    <row r="243" spans="1:14" x14ac:dyDescent="0.3">
      <c r="A243" s="3" t="str">
        <f>ledger!A243</f>
        <v>TXN100241</v>
      </c>
      <c r="B243" s="3">
        <f>ledger!C243</f>
        <v>33</v>
      </c>
      <c r="C243" s="4" t="str">
        <f>IFERROR(VLOOKUP(B243, merchants!$A$2:$D$41, 2, FALSE), "Merchant not found")</f>
        <v>Merchant_033</v>
      </c>
      <c r="D243" s="3" t="str">
        <f>IFERROR(VLOOKUP(B243, merchants!$A$2:$D$41, 3, FALSE), "Merchant not found")</f>
        <v>bill_payment</v>
      </c>
      <c r="E243" s="3" t="str">
        <f>IFERROR(VLOOKUP(B243, merchants!$A$2:$D$41, 4, FALSE), "Merchant not found")</f>
        <v>East</v>
      </c>
      <c r="F243" s="4">
        <f>ledger!D243</f>
        <v>46043.11041666667</v>
      </c>
      <c r="G243" s="5">
        <f>ledger!I243</f>
        <v>46043</v>
      </c>
      <c r="H243" s="3">
        <f>ledger!E243</f>
        <v>299</v>
      </c>
      <c r="I243" s="3" t="str">
        <f>ledger!F243</f>
        <v>Card</v>
      </c>
      <c r="J243" s="3" t="str">
        <f>ledger!G243</f>
        <v>captured</v>
      </c>
      <c r="K243" s="9">
        <f>HLOOKUP(I243,Fee!$B$1:$E$2,2,FALSE())</f>
        <v>0.02</v>
      </c>
      <c r="L243" s="12">
        <f t="shared" si="6"/>
        <v>5.98</v>
      </c>
      <c r="M243" s="3">
        <f>SUMIFS(ledger!$E$2:$E$548, ledger!$C$2:$C$548, B243, ledger!$I$2:$I$548, G243)</f>
        <v>3298</v>
      </c>
      <c r="N243" s="3" t="str">
        <f t="shared" si="7"/>
        <v>Standard</v>
      </c>
    </row>
    <row r="244" spans="1:14" x14ac:dyDescent="0.3">
      <c r="A244" s="3" t="str">
        <f>ledger!A244</f>
        <v>TXN100242</v>
      </c>
      <c r="B244" s="3">
        <f>ledger!C244</f>
        <v>29</v>
      </c>
      <c r="C244" s="4" t="str">
        <f>IFERROR(VLOOKUP(B244, merchants!$A$2:$D$41, 2, FALSE), "Merchant not found")</f>
        <v>Merchant_029</v>
      </c>
      <c r="D244" s="3" t="str">
        <f>IFERROR(VLOOKUP(B244, merchants!$A$2:$D$41, 3, FALSE), "Merchant not found")</f>
        <v>ecommerce</v>
      </c>
      <c r="E244" s="3" t="str">
        <f>IFERROR(VLOOKUP(B244, merchants!$A$2:$D$41, 4, FALSE), "Merchant not found")</f>
        <v>North</v>
      </c>
      <c r="F244" s="4">
        <f>ledger!D244</f>
        <v>46037.774305555555</v>
      </c>
      <c r="G244" s="5">
        <f>ledger!I244</f>
        <v>46037</v>
      </c>
      <c r="H244" s="3">
        <f>ledger!E244</f>
        <v>799</v>
      </c>
      <c r="I244" s="3" t="str">
        <f>ledger!F244</f>
        <v>UPI</v>
      </c>
      <c r="J244" s="3" t="str">
        <f>ledger!G244</f>
        <v>captured</v>
      </c>
      <c r="K244" s="9">
        <f>HLOOKUP(I244,Fee!$B$1:$E$2,2,FALSE())</f>
        <v>5.0000000000000001E-3</v>
      </c>
      <c r="L244" s="12">
        <f t="shared" si="6"/>
        <v>3.9950000000000001</v>
      </c>
      <c r="M244" s="3">
        <f>SUMIFS(ledger!$E$2:$E$548, ledger!$C$2:$C$548, B244, ledger!$I$2:$I$548, G244)</f>
        <v>1098</v>
      </c>
      <c r="N244" s="3" t="str">
        <f t="shared" si="7"/>
        <v>Standard</v>
      </c>
    </row>
    <row r="245" spans="1:14" x14ac:dyDescent="0.3">
      <c r="A245" s="3" t="str">
        <f>ledger!A245</f>
        <v>TXN100243</v>
      </c>
      <c r="B245" s="3">
        <f>ledger!C245</f>
        <v>31</v>
      </c>
      <c r="C245" s="4" t="str">
        <f>IFERROR(VLOOKUP(B245, merchants!$A$2:$D$41, 2, FALSE), "Merchant not found")</f>
        <v>Merchant_031</v>
      </c>
      <c r="D245" s="3" t="str">
        <f>IFERROR(VLOOKUP(B245, merchants!$A$2:$D$41, 3, FALSE), "Merchant not found")</f>
        <v>bill_payment</v>
      </c>
      <c r="E245" s="3" t="str">
        <f>IFERROR(VLOOKUP(B245, merchants!$A$2:$D$41, 4, FALSE), "Merchant not found")</f>
        <v>East</v>
      </c>
      <c r="F245" s="4">
        <f>ledger!D245</f>
        <v>46043.263888888891</v>
      </c>
      <c r="G245" s="5">
        <f>ledger!I245</f>
        <v>46043</v>
      </c>
      <c r="H245" s="3">
        <f>ledger!E245</f>
        <v>49</v>
      </c>
      <c r="I245" s="3" t="str">
        <f>ledger!F245</f>
        <v>Card</v>
      </c>
      <c r="J245" s="3" t="str">
        <f>ledger!G245</f>
        <v>captured</v>
      </c>
      <c r="K245" s="9">
        <f>HLOOKUP(I245,Fee!$B$1:$E$2,2,FALSE())</f>
        <v>0.02</v>
      </c>
      <c r="L245" s="12">
        <f t="shared" si="6"/>
        <v>0.98</v>
      </c>
      <c r="M245" s="3">
        <f>SUMIFS(ledger!$E$2:$E$548, ledger!$C$2:$C$548, B245, ledger!$I$2:$I$548, G245)</f>
        <v>49</v>
      </c>
      <c r="N245" s="3" t="str">
        <f t="shared" si="7"/>
        <v>Standard</v>
      </c>
    </row>
    <row r="246" spans="1:14" x14ac:dyDescent="0.3">
      <c r="A246" s="3" t="str">
        <f>ledger!A246</f>
        <v>TXN100244</v>
      </c>
      <c r="B246" s="3">
        <f>ledger!C246</f>
        <v>22</v>
      </c>
      <c r="C246" s="4" t="str">
        <f>IFERROR(VLOOKUP(B246, merchants!$A$2:$D$41, 2, FALSE), "Merchant not found")</f>
        <v>Merchant_022</v>
      </c>
      <c r="D246" s="3" t="str">
        <f>IFERROR(VLOOKUP(B246, merchants!$A$2:$D$41, 3, FALSE), "Merchant not found")</f>
        <v>travel</v>
      </c>
      <c r="E246" s="3" t="str">
        <f>IFERROR(VLOOKUP(B246, merchants!$A$2:$D$41, 4, FALSE), "Merchant not found")</f>
        <v>South</v>
      </c>
      <c r="F246" s="4">
        <f>ledger!D246</f>
        <v>46027.061111111114</v>
      </c>
      <c r="G246" s="5">
        <f>ledger!I246</f>
        <v>46027</v>
      </c>
      <c r="H246" s="3">
        <f>ledger!E246</f>
        <v>299</v>
      </c>
      <c r="I246" s="3" t="str">
        <f>ledger!F246</f>
        <v>UPI</v>
      </c>
      <c r="J246" s="3" t="str">
        <f>ledger!G246</f>
        <v>captured</v>
      </c>
      <c r="K246" s="9">
        <f>HLOOKUP(I246,Fee!$B$1:$E$2,2,FALSE())</f>
        <v>5.0000000000000001E-3</v>
      </c>
      <c r="L246" s="12">
        <f t="shared" si="6"/>
        <v>1.4950000000000001</v>
      </c>
      <c r="M246" s="3">
        <f>SUMIFS(ledger!$E$2:$E$548, ledger!$C$2:$C$548, B246, ledger!$I$2:$I$548, G246)</f>
        <v>448</v>
      </c>
      <c r="N246" s="3" t="str">
        <f t="shared" si="7"/>
        <v>Standard</v>
      </c>
    </row>
    <row r="247" spans="1:14" x14ac:dyDescent="0.3">
      <c r="A247" s="3" t="str">
        <f>ledger!A247</f>
        <v>TXN100245</v>
      </c>
      <c r="B247" s="3">
        <f>ledger!C247</f>
        <v>3</v>
      </c>
      <c r="C247" s="4" t="str">
        <f>IFERROR(VLOOKUP(B247, merchants!$A$2:$D$41, 2, FALSE), "Merchant not found")</f>
        <v>Merchant_003</v>
      </c>
      <c r="D247" s="3" t="str">
        <f>IFERROR(VLOOKUP(B247, merchants!$A$2:$D$41, 3, FALSE), "Merchant not found")</f>
        <v>grocery</v>
      </c>
      <c r="E247" s="3" t="str">
        <f>IFERROR(VLOOKUP(B247, merchants!$A$2:$D$41, 4, FALSE), "Merchant not found")</f>
        <v>East</v>
      </c>
      <c r="F247" s="4">
        <f>ledger!D247</f>
        <v>46025.695138888892</v>
      </c>
      <c r="G247" s="5">
        <f>ledger!I247</f>
        <v>46025</v>
      </c>
      <c r="H247" s="3">
        <f>ledger!E247</f>
        <v>149</v>
      </c>
      <c r="I247" s="3" t="str">
        <f>ledger!F247</f>
        <v>Card</v>
      </c>
      <c r="J247" s="3" t="str">
        <f>ledger!G247</f>
        <v>captured</v>
      </c>
      <c r="K247" s="9">
        <f>HLOOKUP(I247,Fee!$B$1:$E$2,2,FALSE())</f>
        <v>0.02</v>
      </c>
      <c r="L247" s="12">
        <f t="shared" si="6"/>
        <v>2.98</v>
      </c>
      <c r="M247" s="3">
        <f>SUMIFS(ledger!$E$2:$E$548, ledger!$C$2:$C$548, B247, ledger!$I$2:$I$548, G247)</f>
        <v>198</v>
      </c>
      <c r="N247" s="3" t="str">
        <f t="shared" si="7"/>
        <v>Standard</v>
      </c>
    </row>
    <row r="248" spans="1:14" x14ac:dyDescent="0.3">
      <c r="A248" s="3" t="str">
        <f>ledger!A248</f>
        <v>TXN100246</v>
      </c>
      <c r="B248" s="3">
        <f>ledger!C248</f>
        <v>34</v>
      </c>
      <c r="C248" s="4" t="str">
        <f>IFERROR(VLOOKUP(B248, merchants!$A$2:$D$41, 2, FALSE), "Merchant not found")</f>
        <v>Merchant_034</v>
      </c>
      <c r="D248" s="3" t="str">
        <f>IFERROR(VLOOKUP(B248, merchants!$A$2:$D$41, 3, FALSE), "Merchant not found")</f>
        <v>travel</v>
      </c>
      <c r="E248" s="3" t="str">
        <f>IFERROR(VLOOKUP(B248, merchants!$A$2:$D$41, 4, FALSE), "Merchant not found")</f>
        <v>South</v>
      </c>
      <c r="F248" s="4">
        <f>ledger!D248</f>
        <v>46045.602777777778</v>
      </c>
      <c r="G248" s="5">
        <f>ledger!I248</f>
        <v>46045</v>
      </c>
      <c r="H248" s="3">
        <f>ledger!E248</f>
        <v>149</v>
      </c>
      <c r="I248" s="3" t="str">
        <f>ledger!F248</f>
        <v>UPI</v>
      </c>
      <c r="J248" s="3" t="str">
        <f>ledger!G248</f>
        <v>captured</v>
      </c>
      <c r="K248" s="9">
        <f>HLOOKUP(I248,Fee!$B$1:$E$2,2,FALSE())</f>
        <v>5.0000000000000001E-3</v>
      </c>
      <c r="L248" s="12">
        <f t="shared" si="6"/>
        <v>0.745</v>
      </c>
      <c r="M248" s="3">
        <f>SUMIFS(ledger!$E$2:$E$548, ledger!$C$2:$C$548, B248, ledger!$I$2:$I$548, G248)</f>
        <v>3148</v>
      </c>
      <c r="N248" s="3" t="str">
        <f t="shared" si="7"/>
        <v>Standard</v>
      </c>
    </row>
    <row r="249" spans="1:14" x14ac:dyDescent="0.3">
      <c r="A249" s="3" t="str">
        <f>ledger!A249</f>
        <v>TXN100247</v>
      </c>
      <c r="B249" s="3">
        <f>ledger!C249</f>
        <v>25</v>
      </c>
      <c r="C249" s="4" t="str">
        <f>IFERROR(VLOOKUP(B249, merchants!$A$2:$D$41, 2, FALSE), "Merchant not found")</f>
        <v>Merchant_025</v>
      </c>
      <c r="D249" s="3" t="str">
        <f>IFERROR(VLOOKUP(B249, merchants!$A$2:$D$41, 3, FALSE), "Merchant not found")</f>
        <v>travel</v>
      </c>
      <c r="E249" s="3" t="str">
        <f>IFERROR(VLOOKUP(B249, merchants!$A$2:$D$41, 4, FALSE), "Merchant not found")</f>
        <v>South</v>
      </c>
      <c r="F249" s="4">
        <f>ledger!D249</f>
        <v>46028.474305555559</v>
      </c>
      <c r="G249" s="5">
        <f>ledger!I249</f>
        <v>46028</v>
      </c>
      <c r="H249" s="3">
        <f>ledger!E249</f>
        <v>799</v>
      </c>
      <c r="I249" s="3" t="str">
        <f>ledger!F249</f>
        <v>UPI</v>
      </c>
      <c r="J249" s="3" t="str">
        <f>ledger!G249</f>
        <v>captured</v>
      </c>
      <c r="K249" s="9">
        <f>HLOOKUP(I249,Fee!$B$1:$E$2,2,FALSE())</f>
        <v>5.0000000000000001E-3</v>
      </c>
      <c r="L249" s="12">
        <f t="shared" si="6"/>
        <v>3.9950000000000001</v>
      </c>
      <c r="M249" s="3">
        <f>SUMIFS(ledger!$E$2:$E$548, ledger!$C$2:$C$548, B249, ledger!$I$2:$I$548, G249)</f>
        <v>898</v>
      </c>
      <c r="N249" s="3" t="str">
        <f t="shared" si="7"/>
        <v>Standard</v>
      </c>
    </row>
    <row r="250" spans="1:14" x14ac:dyDescent="0.3">
      <c r="A250" s="3" t="str">
        <f>ledger!A250</f>
        <v>TXN100248</v>
      </c>
      <c r="B250" s="3">
        <f>ledger!C250</f>
        <v>4</v>
      </c>
      <c r="C250" s="4" t="str">
        <f>IFERROR(VLOOKUP(B250, merchants!$A$2:$D$41, 2, FALSE), "Merchant not found")</f>
        <v>Merchant_004</v>
      </c>
      <c r="D250" s="3" t="str">
        <f>IFERROR(VLOOKUP(B250, merchants!$A$2:$D$41, 3, FALSE), "Merchant not found")</f>
        <v>ecommerce</v>
      </c>
      <c r="E250" s="3" t="str">
        <f>IFERROR(VLOOKUP(B250, merchants!$A$2:$D$41, 4, FALSE), "Merchant not found")</f>
        <v>East</v>
      </c>
      <c r="F250" s="4">
        <f>ledger!D250</f>
        <v>46047.446527777778</v>
      </c>
      <c r="G250" s="5">
        <f>ledger!I250</f>
        <v>46047</v>
      </c>
      <c r="H250" s="3">
        <f>ledger!E250</f>
        <v>1499</v>
      </c>
      <c r="I250" s="3" t="str">
        <f>ledger!F250</f>
        <v>UPI</v>
      </c>
      <c r="J250" s="3" t="str">
        <f>ledger!G250</f>
        <v>captured</v>
      </c>
      <c r="K250" s="9">
        <f>HLOOKUP(I250,Fee!$B$1:$E$2,2,FALSE())</f>
        <v>5.0000000000000001E-3</v>
      </c>
      <c r="L250" s="12">
        <f t="shared" si="6"/>
        <v>7.4950000000000001</v>
      </c>
      <c r="M250" s="3">
        <f>SUMIFS(ledger!$E$2:$E$548, ledger!$C$2:$C$548, B250, ledger!$I$2:$I$548, G250)</f>
        <v>1998</v>
      </c>
      <c r="N250" s="3" t="str">
        <f t="shared" si="7"/>
        <v>Standard</v>
      </c>
    </row>
    <row r="251" spans="1:14" x14ac:dyDescent="0.3">
      <c r="A251" s="3" t="str">
        <f>ledger!A251</f>
        <v>TXN100249</v>
      </c>
      <c r="B251" s="3">
        <f>ledger!C251</f>
        <v>7</v>
      </c>
      <c r="C251" s="4" t="str">
        <f>IFERROR(VLOOKUP(B251, merchants!$A$2:$D$41, 2, FALSE), "Merchant not found")</f>
        <v>Merchant_007</v>
      </c>
      <c r="D251" s="3" t="str">
        <f>IFERROR(VLOOKUP(B251, merchants!$A$2:$D$41, 3, FALSE), "Merchant not found")</f>
        <v>food_delivery</v>
      </c>
      <c r="E251" s="3" t="str">
        <f>IFERROR(VLOOKUP(B251, merchants!$A$2:$D$41, 4, FALSE), "Merchant not found")</f>
        <v>East</v>
      </c>
      <c r="F251" s="4">
        <f>ledger!D251</f>
        <v>46043.419444444444</v>
      </c>
      <c r="G251" s="5">
        <f>ledger!I251</f>
        <v>46043</v>
      </c>
      <c r="H251" s="3">
        <f>ledger!E251</f>
        <v>1499</v>
      </c>
      <c r="I251" s="3" t="str">
        <f>ledger!F251</f>
        <v>Wallet</v>
      </c>
      <c r="J251" s="3" t="str">
        <f>ledger!G251</f>
        <v>captured</v>
      </c>
      <c r="K251" s="9">
        <f>HLOOKUP(I251,Fee!$B$1:$E$2,2,FALSE())</f>
        <v>1.4999999999999999E-2</v>
      </c>
      <c r="L251" s="12">
        <f t="shared" si="6"/>
        <v>22.484999999999999</v>
      </c>
      <c r="M251" s="3">
        <f>SUMIFS(ledger!$E$2:$E$548, ledger!$C$2:$C$548, B251, ledger!$I$2:$I$548, G251)</f>
        <v>1499</v>
      </c>
      <c r="N251" s="3" t="str">
        <f t="shared" si="7"/>
        <v>Standard</v>
      </c>
    </row>
    <row r="252" spans="1:14" x14ac:dyDescent="0.3">
      <c r="A252" s="3" t="str">
        <f>ledger!A252</f>
        <v>TXN100250</v>
      </c>
      <c r="B252" s="3">
        <f>ledger!C252</f>
        <v>39</v>
      </c>
      <c r="C252" s="4" t="str">
        <f>IFERROR(VLOOKUP(B252, merchants!$A$2:$D$41, 2, FALSE), "Merchant not found")</f>
        <v>Merchant_039</v>
      </c>
      <c r="D252" s="3" t="str">
        <f>IFERROR(VLOOKUP(B252, merchants!$A$2:$D$41, 3, FALSE), "Merchant not found")</f>
        <v>entertainment</v>
      </c>
      <c r="E252" s="3" t="str">
        <f>IFERROR(VLOOKUP(B252, merchants!$A$2:$D$41, 4, FALSE), "Merchant not found")</f>
        <v>North</v>
      </c>
      <c r="F252" s="4">
        <f>ledger!D252</f>
        <v>46044.512499999997</v>
      </c>
      <c r="G252" s="5">
        <f>ledger!I252</f>
        <v>46044</v>
      </c>
      <c r="H252" s="3">
        <f>ledger!E252</f>
        <v>2999</v>
      </c>
      <c r="I252" s="3" t="str">
        <f>ledger!F252</f>
        <v>Wallet</v>
      </c>
      <c r="J252" s="3" t="str">
        <f>ledger!G252</f>
        <v>captured</v>
      </c>
      <c r="K252" s="9">
        <f>HLOOKUP(I252,Fee!$B$1:$E$2,2,FALSE())</f>
        <v>1.4999999999999999E-2</v>
      </c>
      <c r="L252" s="12">
        <f t="shared" si="6"/>
        <v>44.984999999999999</v>
      </c>
      <c r="M252" s="3">
        <f>SUMIFS(ledger!$E$2:$E$548, ledger!$C$2:$C$548, B252, ledger!$I$2:$I$548, G252)</f>
        <v>9796</v>
      </c>
      <c r="N252" s="3" t="str">
        <f t="shared" si="7"/>
        <v>High Value</v>
      </c>
    </row>
    <row r="253" spans="1:14" x14ac:dyDescent="0.3">
      <c r="A253" s="3" t="str">
        <f>ledger!A253</f>
        <v>TXN100251</v>
      </c>
      <c r="B253" s="3">
        <f>ledger!C253</f>
        <v>10</v>
      </c>
      <c r="C253" s="4" t="str">
        <f>IFERROR(VLOOKUP(B253, merchants!$A$2:$D$41, 2, FALSE), "Merchant not found")</f>
        <v>Merchant_010</v>
      </c>
      <c r="D253" s="3" t="str">
        <f>IFERROR(VLOOKUP(B253, merchants!$A$2:$D$41, 3, FALSE), "Merchant not found")</f>
        <v>grocery</v>
      </c>
      <c r="E253" s="3" t="str">
        <f>IFERROR(VLOOKUP(B253, merchants!$A$2:$D$41, 4, FALSE), "Merchant not found")</f>
        <v>West</v>
      </c>
      <c r="F253" s="4">
        <f>ledger!D253</f>
        <v>46033.109027777777</v>
      </c>
      <c r="G253" s="5">
        <f>ledger!I253</f>
        <v>46033</v>
      </c>
      <c r="H253" s="3">
        <f>ledger!E253</f>
        <v>49</v>
      </c>
      <c r="I253" s="3" t="str">
        <f>ledger!F253</f>
        <v>Card</v>
      </c>
      <c r="J253" s="3" t="str">
        <f>ledger!G253</f>
        <v>captured</v>
      </c>
      <c r="K253" s="9">
        <f>HLOOKUP(I253,Fee!$B$1:$E$2,2,FALSE())</f>
        <v>0.02</v>
      </c>
      <c r="L253" s="12">
        <f t="shared" si="6"/>
        <v>0.98</v>
      </c>
      <c r="M253" s="3">
        <f>SUMIFS(ledger!$E$2:$E$548, ledger!$C$2:$C$548, B253, ledger!$I$2:$I$548, G253)</f>
        <v>98</v>
      </c>
      <c r="N253" s="3" t="str">
        <f t="shared" si="7"/>
        <v>Standard</v>
      </c>
    </row>
    <row r="254" spans="1:14" x14ac:dyDescent="0.3">
      <c r="A254" s="3" t="str">
        <f>ledger!A254</f>
        <v>TXN100252</v>
      </c>
      <c r="B254" s="3">
        <f>ledger!C254</f>
        <v>26</v>
      </c>
      <c r="C254" s="4" t="str">
        <f>IFERROR(VLOOKUP(B254, merchants!$A$2:$D$41, 2, FALSE), "Merchant not found")</f>
        <v>Merchant_026</v>
      </c>
      <c r="D254" s="3" t="str">
        <f>IFERROR(VLOOKUP(B254, merchants!$A$2:$D$41, 3, FALSE), "Merchant not found")</f>
        <v>food_delivery</v>
      </c>
      <c r="E254" s="3" t="str">
        <f>IFERROR(VLOOKUP(B254, merchants!$A$2:$D$41, 4, FALSE), "Merchant not found")</f>
        <v>East</v>
      </c>
      <c r="F254" s="4">
        <f>ledger!D254</f>
        <v>46032.863888888889</v>
      </c>
      <c r="G254" s="5">
        <f>ledger!I254</f>
        <v>46032</v>
      </c>
      <c r="H254" s="3">
        <f>ledger!E254</f>
        <v>299</v>
      </c>
      <c r="I254" s="3" t="str">
        <f>ledger!F254</f>
        <v>Card</v>
      </c>
      <c r="J254" s="3" t="str">
        <f>ledger!G254</f>
        <v>captured</v>
      </c>
      <c r="K254" s="9">
        <f>HLOOKUP(I254,Fee!$B$1:$E$2,2,FALSE())</f>
        <v>0.02</v>
      </c>
      <c r="L254" s="12">
        <f t="shared" si="6"/>
        <v>5.98</v>
      </c>
      <c r="M254" s="3">
        <f>SUMIFS(ledger!$E$2:$E$548, ledger!$C$2:$C$548, B254, ledger!$I$2:$I$548, G254)</f>
        <v>299</v>
      </c>
      <c r="N254" s="3" t="str">
        <f t="shared" si="7"/>
        <v>Standard</v>
      </c>
    </row>
    <row r="255" spans="1:14" x14ac:dyDescent="0.3">
      <c r="A255" s="3" t="str">
        <f>ledger!A255</f>
        <v>TXN100253</v>
      </c>
      <c r="B255" s="3">
        <f>ledger!C255</f>
        <v>36</v>
      </c>
      <c r="C255" s="4" t="str">
        <f>IFERROR(VLOOKUP(B255, merchants!$A$2:$D$41, 2, FALSE), "Merchant not found")</f>
        <v>Merchant_036</v>
      </c>
      <c r="D255" s="3" t="str">
        <f>IFERROR(VLOOKUP(B255, merchants!$A$2:$D$41, 3, FALSE), "Merchant not found")</f>
        <v>entertainment</v>
      </c>
      <c r="E255" s="3" t="str">
        <f>IFERROR(VLOOKUP(B255, merchants!$A$2:$D$41, 4, FALSE), "Merchant not found")</f>
        <v>East</v>
      </c>
      <c r="F255" s="4">
        <f>ledger!D255</f>
        <v>46042.920138888891</v>
      </c>
      <c r="G255" s="5">
        <f>ledger!I255</f>
        <v>46042</v>
      </c>
      <c r="H255" s="3">
        <f>ledger!E255</f>
        <v>49</v>
      </c>
      <c r="I255" s="3" t="str">
        <f>ledger!F255</f>
        <v>UPI</v>
      </c>
      <c r="J255" s="3" t="str">
        <f>ledger!G255</f>
        <v>captured</v>
      </c>
      <c r="K255" s="9">
        <f>HLOOKUP(I255,Fee!$B$1:$E$2,2,FALSE())</f>
        <v>5.0000000000000001E-3</v>
      </c>
      <c r="L255" s="12">
        <f t="shared" si="6"/>
        <v>0.245</v>
      </c>
      <c r="M255" s="3">
        <f>SUMIFS(ledger!$E$2:$E$548, ledger!$C$2:$C$548, B255, ledger!$I$2:$I$548, G255)</f>
        <v>49</v>
      </c>
      <c r="N255" s="3" t="str">
        <f t="shared" si="7"/>
        <v>Standard</v>
      </c>
    </row>
    <row r="256" spans="1:14" x14ac:dyDescent="0.3">
      <c r="A256" s="3" t="str">
        <f>ledger!A256</f>
        <v>TXN100254</v>
      </c>
      <c r="B256" s="3">
        <f>ledger!C256</f>
        <v>34</v>
      </c>
      <c r="C256" s="4" t="str">
        <f>IFERROR(VLOOKUP(B256, merchants!$A$2:$D$41, 2, FALSE), "Merchant not found")</f>
        <v>Merchant_034</v>
      </c>
      <c r="D256" s="3" t="str">
        <f>IFERROR(VLOOKUP(B256, merchants!$A$2:$D$41, 3, FALSE), "Merchant not found")</f>
        <v>travel</v>
      </c>
      <c r="E256" s="3" t="str">
        <f>IFERROR(VLOOKUP(B256, merchants!$A$2:$D$41, 4, FALSE), "Merchant not found")</f>
        <v>South</v>
      </c>
      <c r="F256" s="4">
        <f>ledger!D256</f>
        <v>46043.452777777777</v>
      </c>
      <c r="G256" s="5">
        <f>ledger!I256</f>
        <v>46043</v>
      </c>
      <c r="H256" s="3">
        <f>ledger!E256</f>
        <v>799</v>
      </c>
      <c r="I256" s="3" t="str">
        <f>ledger!F256</f>
        <v>UPI</v>
      </c>
      <c r="J256" s="3" t="str">
        <f>ledger!G256</f>
        <v>captured</v>
      </c>
      <c r="K256" s="9">
        <f>HLOOKUP(I256,Fee!$B$1:$E$2,2,FALSE())</f>
        <v>5.0000000000000001E-3</v>
      </c>
      <c r="L256" s="12">
        <f t="shared" si="6"/>
        <v>3.9950000000000001</v>
      </c>
      <c r="M256" s="3">
        <f>SUMIFS(ledger!$E$2:$E$548, ledger!$C$2:$C$548, B256, ledger!$I$2:$I$548, G256)</f>
        <v>799</v>
      </c>
      <c r="N256" s="3" t="str">
        <f t="shared" si="7"/>
        <v>Standard</v>
      </c>
    </row>
    <row r="257" spans="1:14" x14ac:dyDescent="0.3">
      <c r="A257" s="3" t="str">
        <f>ledger!A257</f>
        <v>TXN100255</v>
      </c>
      <c r="B257" s="3">
        <f>ledger!C257</f>
        <v>24</v>
      </c>
      <c r="C257" s="4" t="str">
        <f>IFERROR(VLOOKUP(B257, merchants!$A$2:$D$41, 2, FALSE), "Merchant not found")</f>
        <v>Merchant_024</v>
      </c>
      <c r="D257" s="3" t="str">
        <f>IFERROR(VLOOKUP(B257, merchants!$A$2:$D$41, 3, FALSE), "Merchant not found")</f>
        <v>grocery</v>
      </c>
      <c r="E257" s="3" t="str">
        <f>IFERROR(VLOOKUP(B257, merchants!$A$2:$D$41, 4, FALSE), "Merchant not found")</f>
        <v>North</v>
      </c>
      <c r="F257" s="4">
        <f>ledger!D257</f>
        <v>46043.893750000003</v>
      </c>
      <c r="G257" s="5">
        <f>ledger!I257</f>
        <v>46043</v>
      </c>
      <c r="H257" s="3">
        <f>ledger!E257</f>
        <v>799</v>
      </c>
      <c r="I257" s="3" t="str">
        <f>ledger!F257</f>
        <v>Card</v>
      </c>
      <c r="J257" s="3" t="str">
        <f>ledger!G257</f>
        <v>captured</v>
      </c>
      <c r="K257" s="9">
        <f>HLOOKUP(I257,Fee!$B$1:$E$2,2,FALSE())</f>
        <v>0.02</v>
      </c>
      <c r="L257" s="12">
        <f t="shared" si="6"/>
        <v>15.98</v>
      </c>
      <c r="M257" s="3">
        <f>SUMIFS(ledger!$E$2:$E$548, ledger!$C$2:$C$548, B257, ledger!$I$2:$I$548, G257)</f>
        <v>799</v>
      </c>
      <c r="N257" s="3" t="str">
        <f t="shared" si="7"/>
        <v>Standard</v>
      </c>
    </row>
    <row r="258" spans="1:14" x14ac:dyDescent="0.3">
      <c r="A258" s="3" t="str">
        <f>ledger!A258</f>
        <v>TXN100256</v>
      </c>
      <c r="B258" s="3">
        <f>ledger!C258</f>
        <v>22</v>
      </c>
      <c r="C258" s="4" t="str">
        <f>IFERROR(VLOOKUP(B258, merchants!$A$2:$D$41, 2, FALSE), "Merchant not found")</f>
        <v>Merchant_022</v>
      </c>
      <c r="D258" s="3" t="str">
        <f>IFERROR(VLOOKUP(B258, merchants!$A$2:$D$41, 3, FALSE), "Merchant not found")</f>
        <v>travel</v>
      </c>
      <c r="E258" s="3" t="str">
        <f>IFERROR(VLOOKUP(B258, merchants!$A$2:$D$41, 4, FALSE), "Merchant not found")</f>
        <v>South</v>
      </c>
      <c r="F258" s="4">
        <f>ledger!D258</f>
        <v>46034.382638888892</v>
      </c>
      <c r="G258" s="5">
        <f>ledger!I258</f>
        <v>46034</v>
      </c>
      <c r="H258" s="3">
        <f>ledger!E258</f>
        <v>799</v>
      </c>
      <c r="I258" s="3" t="str">
        <f>ledger!F258</f>
        <v>UPI</v>
      </c>
      <c r="J258" s="3" t="str">
        <f>ledger!G258</f>
        <v>captured</v>
      </c>
      <c r="K258" s="9">
        <f>HLOOKUP(I258,Fee!$B$1:$E$2,2,FALSE())</f>
        <v>5.0000000000000001E-3</v>
      </c>
      <c r="L258" s="12">
        <f t="shared" si="6"/>
        <v>3.9950000000000001</v>
      </c>
      <c r="M258" s="3">
        <f>SUMIFS(ledger!$E$2:$E$548, ledger!$C$2:$C$548, B258, ledger!$I$2:$I$548, G258)</f>
        <v>1697</v>
      </c>
      <c r="N258" s="3" t="str">
        <f t="shared" si="7"/>
        <v>Standard</v>
      </c>
    </row>
    <row r="259" spans="1:14" x14ac:dyDescent="0.3">
      <c r="A259" s="3" t="str">
        <f>ledger!A259</f>
        <v>TXN100257</v>
      </c>
      <c r="B259" s="3">
        <f>ledger!C259</f>
        <v>10</v>
      </c>
      <c r="C259" s="4" t="str">
        <f>IFERROR(VLOOKUP(B259, merchants!$A$2:$D$41, 2, FALSE), "Merchant not found")</f>
        <v>Merchant_010</v>
      </c>
      <c r="D259" s="3" t="str">
        <f>IFERROR(VLOOKUP(B259, merchants!$A$2:$D$41, 3, FALSE), "Merchant not found")</f>
        <v>grocery</v>
      </c>
      <c r="E259" s="3" t="str">
        <f>IFERROR(VLOOKUP(B259, merchants!$A$2:$D$41, 4, FALSE), "Merchant not found")</f>
        <v>West</v>
      </c>
      <c r="F259" s="4">
        <f>ledger!D259</f>
        <v>46038.259722222225</v>
      </c>
      <c r="G259" s="5">
        <f>ledger!I259</f>
        <v>46038</v>
      </c>
      <c r="H259" s="3">
        <f>ledger!E259</f>
        <v>49</v>
      </c>
      <c r="I259" s="3" t="str">
        <f>ledger!F259</f>
        <v>UPI</v>
      </c>
      <c r="J259" s="3" t="str">
        <f>ledger!G259</f>
        <v>captured</v>
      </c>
      <c r="K259" s="9">
        <f>HLOOKUP(I259,Fee!$B$1:$E$2,2,FALSE())</f>
        <v>5.0000000000000001E-3</v>
      </c>
      <c r="L259" s="12">
        <f t="shared" ref="L259:L322" si="8">H259*K259</f>
        <v>0.245</v>
      </c>
      <c r="M259" s="3">
        <f>SUMIFS(ledger!$E$2:$E$548, ledger!$C$2:$C$548, B259, ledger!$I$2:$I$548, G259)</f>
        <v>49</v>
      </c>
      <c r="N259" s="3" t="str">
        <f t="shared" ref="N259:N322" si="9">IF(AND(M259&gt;5000,E259&lt;&gt;"East"),"High Value","Standard")</f>
        <v>Standard</v>
      </c>
    </row>
    <row r="260" spans="1:14" x14ac:dyDescent="0.3">
      <c r="A260" s="3" t="str">
        <f>ledger!A260</f>
        <v>TXN100258</v>
      </c>
      <c r="B260" s="3">
        <f>ledger!C260</f>
        <v>34</v>
      </c>
      <c r="C260" s="4" t="str">
        <f>IFERROR(VLOOKUP(B260, merchants!$A$2:$D$41, 2, FALSE), "Merchant not found")</f>
        <v>Merchant_034</v>
      </c>
      <c r="D260" s="3" t="str">
        <f>IFERROR(VLOOKUP(B260, merchants!$A$2:$D$41, 3, FALSE), "Merchant not found")</f>
        <v>travel</v>
      </c>
      <c r="E260" s="3" t="str">
        <f>IFERROR(VLOOKUP(B260, merchants!$A$2:$D$41, 4, FALSE), "Merchant not found")</f>
        <v>South</v>
      </c>
      <c r="F260" s="4">
        <f>ledger!D260</f>
        <v>46032.147222222222</v>
      </c>
      <c r="G260" s="5">
        <f>ledger!I260</f>
        <v>46032</v>
      </c>
      <c r="H260" s="3">
        <f>ledger!E260</f>
        <v>49</v>
      </c>
      <c r="I260" s="3" t="str">
        <f>ledger!F260</f>
        <v>UPI</v>
      </c>
      <c r="J260" s="3" t="str">
        <f>ledger!G260</f>
        <v>captured</v>
      </c>
      <c r="K260" s="9">
        <f>HLOOKUP(I260,Fee!$B$1:$E$2,2,FALSE())</f>
        <v>5.0000000000000001E-3</v>
      </c>
      <c r="L260" s="12">
        <f t="shared" si="8"/>
        <v>0.245</v>
      </c>
      <c r="M260" s="3">
        <f>SUMIFS(ledger!$E$2:$E$548, ledger!$C$2:$C$548, B260, ledger!$I$2:$I$548, G260)</f>
        <v>49</v>
      </c>
      <c r="N260" s="3" t="str">
        <f t="shared" si="9"/>
        <v>Standard</v>
      </c>
    </row>
    <row r="261" spans="1:14" x14ac:dyDescent="0.3">
      <c r="A261" s="3" t="str">
        <f>ledger!A261</f>
        <v>TXN100259</v>
      </c>
      <c r="B261" s="3">
        <f>ledger!C261</f>
        <v>9</v>
      </c>
      <c r="C261" s="4" t="str">
        <f>IFERROR(VLOOKUP(B261, merchants!$A$2:$D$41, 2, FALSE), "Merchant not found")</f>
        <v>Merchant_009</v>
      </c>
      <c r="D261" s="3" t="str">
        <f>IFERROR(VLOOKUP(B261, merchants!$A$2:$D$41, 3, FALSE), "Merchant not found")</f>
        <v>ecommerce</v>
      </c>
      <c r="E261" s="3" t="str">
        <f>IFERROR(VLOOKUP(B261, merchants!$A$2:$D$41, 4, FALSE), "Merchant not found")</f>
        <v>North</v>
      </c>
      <c r="F261" s="4">
        <f>ledger!D261</f>
        <v>46044.455555555556</v>
      </c>
      <c r="G261" s="5">
        <f>ledger!I261</f>
        <v>46044</v>
      </c>
      <c r="H261" s="3">
        <f>ledger!E261</f>
        <v>499</v>
      </c>
      <c r="I261" s="3" t="str">
        <f>ledger!F261</f>
        <v>Wallet</v>
      </c>
      <c r="J261" s="3" t="str">
        <f>ledger!G261</f>
        <v>captured</v>
      </c>
      <c r="K261" s="9">
        <f>HLOOKUP(I261,Fee!$B$1:$E$2,2,FALSE())</f>
        <v>1.4999999999999999E-2</v>
      </c>
      <c r="L261" s="12">
        <f t="shared" si="8"/>
        <v>7.4849999999999994</v>
      </c>
      <c r="M261" s="3">
        <f>SUMIFS(ledger!$E$2:$E$548, ledger!$C$2:$C$548, B261, ledger!$I$2:$I$548, G261)</f>
        <v>1298</v>
      </c>
      <c r="N261" s="3" t="str">
        <f t="shared" si="9"/>
        <v>Standard</v>
      </c>
    </row>
    <row r="262" spans="1:14" x14ac:dyDescent="0.3">
      <c r="A262" s="3" t="str">
        <f>ledger!A262</f>
        <v>TXN100260</v>
      </c>
      <c r="B262" s="3">
        <f>ledger!C262</f>
        <v>40</v>
      </c>
      <c r="C262" s="4" t="str">
        <f>IFERROR(VLOOKUP(B262, merchants!$A$2:$D$41, 2, FALSE), "Merchant not found")</f>
        <v>Merchant_040</v>
      </c>
      <c r="D262" s="3" t="str">
        <f>IFERROR(VLOOKUP(B262, merchants!$A$2:$D$41, 3, FALSE), "Merchant not found")</f>
        <v>entertainment</v>
      </c>
      <c r="E262" s="3" t="str">
        <f>IFERROR(VLOOKUP(B262, merchants!$A$2:$D$41, 4, FALSE), "Merchant not found")</f>
        <v>South</v>
      </c>
      <c r="F262" s="4">
        <f>ledger!D262</f>
        <v>46035.173611111109</v>
      </c>
      <c r="G262" s="5">
        <f>ledger!I262</f>
        <v>46035</v>
      </c>
      <c r="H262" s="3">
        <f>ledger!E262</f>
        <v>299</v>
      </c>
      <c r="I262" s="3" t="str">
        <f>ledger!F262</f>
        <v>UPI</v>
      </c>
      <c r="J262" s="3" t="str">
        <f>ledger!G262</f>
        <v>captured</v>
      </c>
      <c r="K262" s="9">
        <f>HLOOKUP(I262,Fee!$B$1:$E$2,2,FALSE())</f>
        <v>5.0000000000000001E-3</v>
      </c>
      <c r="L262" s="12">
        <f t="shared" si="8"/>
        <v>1.4950000000000001</v>
      </c>
      <c r="M262" s="3">
        <f>SUMIFS(ledger!$E$2:$E$548, ledger!$C$2:$C$548, B262, ledger!$I$2:$I$548, G262)</f>
        <v>299</v>
      </c>
      <c r="N262" s="3" t="str">
        <f t="shared" si="9"/>
        <v>Standard</v>
      </c>
    </row>
    <row r="263" spans="1:14" x14ac:dyDescent="0.3">
      <c r="A263" s="3" t="str">
        <f>ledger!A263</f>
        <v>TXN100261</v>
      </c>
      <c r="B263" s="3">
        <f>ledger!C263</f>
        <v>24</v>
      </c>
      <c r="C263" s="4" t="str">
        <f>IFERROR(VLOOKUP(B263, merchants!$A$2:$D$41, 2, FALSE), "Merchant not found")</f>
        <v>Merchant_024</v>
      </c>
      <c r="D263" s="3" t="str">
        <f>IFERROR(VLOOKUP(B263, merchants!$A$2:$D$41, 3, FALSE), "Merchant not found")</f>
        <v>grocery</v>
      </c>
      <c r="E263" s="3" t="str">
        <f>IFERROR(VLOOKUP(B263, merchants!$A$2:$D$41, 4, FALSE), "Merchant not found")</f>
        <v>North</v>
      </c>
      <c r="F263" s="4">
        <f>ledger!D263</f>
        <v>46046.584722222222</v>
      </c>
      <c r="G263" s="5">
        <f>ledger!I263</f>
        <v>46046</v>
      </c>
      <c r="H263" s="3">
        <f>ledger!E263</f>
        <v>99</v>
      </c>
      <c r="I263" s="3" t="str">
        <f>ledger!F263</f>
        <v>Netbanking</v>
      </c>
      <c r="J263" s="3" t="str">
        <f>ledger!G263</f>
        <v>captured</v>
      </c>
      <c r="K263" s="9">
        <f>HLOOKUP(I263,Fee!$B$1:$E$2,2,FALSE())</f>
        <v>1.7999999999999999E-2</v>
      </c>
      <c r="L263" s="12">
        <f t="shared" si="8"/>
        <v>1.7819999999999998</v>
      </c>
      <c r="M263" s="3">
        <f>SUMIFS(ledger!$E$2:$E$548, ledger!$C$2:$C$548, B263, ledger!$I$2:$I$548, G263)</f>
        <v>148</v>
      </c>
      <c r="N263" s="3" t="str">
        <f t="shared" si="9"/>
        <v>Standard</v>
      </c>
    </row>
    <row r="264" spans="1:14" x14ac:dyDescent="0.3">
      <c r="A264" s="3" t="str">
        <f>ledger!A264</f>
        <v>TXN100262</v>
      </c>
      <c r="B264" s="3">
        <f>ledger!C264</f>
        <v>19</v>
      </c>
      <c r="C264" s="4" t="str">
        <f>IFERROR(VLOOKUP(B264, merchants!$A$2:$D$41, 2, FALSE), "Merchant not found")</f>
        <v>Merchant_019</v>
      </c>
      <c r="D264" s="3" t="str">
        <f>IFERROR(VLOOKUP(B264, merchants!$A$2:$D$41, 3, FALSE), "Merchant not found")</f>
        <v>grocery</v>
      </c>
      <c r="E264" s="3" t="str">
        <f>IFERROR(VLOOKUP(B264, merchants!$A$2:$D$41, 4, FALSE), "Merchant not found")</f>
        <v>North</v>
      </c>
      <c r="F264" s="4">
        <f>ledger!D264</f>
        <v>46046.311111111114</v>
      </c>
      <c r="G264" s="5">
        <f>ledger!I264</f>
        <v>46046</v>
      </c>
      <c r="H264" s="3">
        <f>ledger!E264</f>
        <v>149</v>
      </c>
      <c r="I264" s="3" t="str">
        <f>ledger!F264</f>
        <v>UPI</v>
      </c>
      <c r="J264" s="3" t="str">
        <f>ledger!G264</f>
        <v>captured</v>
      </c>
      <c r="K264" s="9">
        <f>HLOOKUP(I264,Fee!$B$1:$E$2,2,FALSE())</f>
        <v>5.0000000000000001E-3</v>
      </c>
      <c r="L264" s="12">
        <f t="shared" si="8"/>
        <v>0.745</v>
      </c>
      <c r="M264" s="3">
        <f>SUMIFS(ledger!$E$2:$E$548, ledger!$C$2:$C$548, B264, ledger!$I$2:$I$548, G264)</f>
        <v>149</v>
      </c>
      <c r="N264" s="3" t="str">
        <f t="shared" si="9"/>
        <v>Standard</v>
      </c>
    </row>
    <row r="265" spans="1:14" x14ac:dyDescent="0.3">
      <c r="A265" s="3" t="str">
        <f>ledger!A265</f>
        <v>TXN100263</v>
      </c>
      <c r="B265" s="3">
        <f>ledger!C265</f>
        <v>16</v>
      </c>
      <c r="C265" s="4" t="str">
        <f>IFERROR(VLOOKUP(B265, merchants!$A$2:$D$41, 2, FALSE), "Merchant not found")</f>
        <v>Merchant_016</v>
      </c>
      <c r="D265" s="3" t="str">
        <f>IFERROR(VLOOKUP(B265, merchants!$A$2:$D$41, 3, FALSE), "Merchant not found")</f>
        <v>bill_payment</v>
      </c>
      <c r="E265" s="3" t="str">
        <f>IFERROR(VLOOKUP(B265, merchants!$A$2:$D$41, 4, FALSE), "Merchant not found")</f>
        <v>West</v>
      </c>
      <c r="F265" s="4">
        <f>ledger!D265</f>
        <v>46046.593055555553</v>
      </c>
      <c r="G265" s="5">
        <f>ledger!I265</f>
        <v>46046</v>
      </c>
      <c r="H265" s="3">
        <f>ledger!E265</f>
        <v>49</v>
      </c>
      <c r="I265" s="3" t="str">
        <f>ledger!F265</f>
        <v>Wallet</v>
      </c>
      <c r="J265" s="3" t="str">
        <f>ledger!G265</f>
        <v>failed</v>
      </c>
      <c r="K265" s="9">
        <f>HLOOKUP(I265,Fee!$B$1:$E$2,2,FALSE())</f>
        <v>1.4999999999999999E-2</v>
      </c>
      <c r="L265" s="12">
        <f t="shared" si="8"/>
        <v>0.73499999999999999</v>
      </c>
      <c r="M265" s="3">
        <f>SUMIFS(ledger!$E$2:$E$548, ledger!$C$2:$C$548, B265, ledger!$I$2:$I$548, G265)</f>
        <v>1548</v>
      </c>
      <c r="N265" s="3" t="str">
        <f t="shared" si="9"/>
        <v>Standard</v>
      </c>
    </row>
    <row r="266" spans="1:14" x14ac:dyDescent="0.3">
      <c r="A266" s="3" t="str">
        <f>ledger!A266</f>
        <v>TXN100264</v>
      </c>
      <c r="B266" s="3">
        <f>ledger!C266</f>
        <v>24</v>
      </c>
      <c r="C266" s="4" t="str">
        <f>IFERROR(VLOOKUP(B266, merchants!$A$2:$D$41, 2, FALSE), "Merchant not found")</f>
        <v>Merchant_024</v>
      </c>
      <c r="D266" s="3" t="str">
        <f>IFERROR(VLOOKUP(B266, merchants!$A$2:$D$41, 3, FALSE), "Merchant not found")</f>
        <v>grocery</v>
      </c>
      <c r="E266" s="3" t="str">
        <f>IFERROR(VLOOKUP(B266, merchants!$A$2:$D$41, 4, FALSE), "Merchant not found")</f>
        <v>North</v>
      </c>
      <c r="F266" s="4">
        <f>ledger!D266</f>
        <v>46048.664583333331</v>
      </c>
      <c r="G266" s="5">
        <f>ledger!I266</f>
        <v>46048</v>
      </c>
      <c r="H266" s="3">
        <f>ledger!E266</f>
        <v>299</v>
      </c>
      <c r="I266" s="3" t="str">
        <f>ledger!F266</f>
        <v>UPI</v>
      </c>
      <c r="J266" s="3" t="str">
        <f>ledger!G266</f>
        <v>captured</v>
      </c>
      <c r="K266" s="9">
        <f>HLOOKUP(I266,Fee!$B$1:$E$2,2,FALSE())</f>
        <v>5.0000000000000001E-3</v>
      </c>
      <c r="L266" s="12">
        <f t="shared" si="8"/>
        <v>1.4950000000000001</v>
      </c>
      <c r="M266" s="3">
        <f>SUMIFS(ledger!$E$2:$E$548, ledger!$C$2:$C$548, B266, ledger!$I$2:$I$548, G266)</f>
        <v>348</v>
      </c>
      <c r="N266" s="3" t="str">
        <f t="shared" si="9"/>
        <v>Standard</v>
      </c>
    </row>
    <row r="267" spans="1:14" x14ac:dyDescent="0.3">
      <c r="A267" s="3" t="str">
        <f>ledger!A267</f>
        <v>TXN100265</v>
      </c>
      <c r="B267" s="3">
        <f>ledger!C267</f>
        <v>25</v>
      </c>
      <c r="C267" s="4" t="str">
        <f>IFERROR(VLOOKUP(B267, merchants!$A$2:$D$41, 2, FALSE), "Merchant not found")</f>
        <v>Merchant_025</v>
      </c>
      <c r="D267" s="3" t="str">
        <f>IFERROR(VLOOKUP(B267, merchants!$A$2:$D$41, 3, FALSE), "Merchant not found")</f>
        <v>travel</v>
      </c>
      <c r="E267" s="3" t="str">
        <f>IFERROR(VLOOKUP(B267, merchants!$A$2:$D$41, 4, FALSE), "Merchant not found")</f>
        <v>South</v>
      </c>
      <c r="F267" s="4">
        <f>ledger!D267</f>
        <v>46041.603472222225</v>
      </c>
      <c r="G267" s="5">
        <f>ledger!I267</f>
        <v>46041</v>
      </c>
      <c r="H267" s="3">
        <f>ledger!E267</f>
        <v>2999</v>
      </c>
      <c r="I267" s="3" t="str">
        <f>ledger!F267</f>
        <v>Wallet</v>
      </c>
      <c r="J267" s="3" t="str">
        <f>ledger!G267</f>
        <v>captured</v>
      </c>
      <c r="K267" s="9">
        <f>HLOOKUP(I267,Fee!$B$1:$E$2,2,FALSE())</f>
        <v>1.4999999999999999E-2</v>
      </c>
      <c r="L267" s="12">
        <f t="shared" si="8"/>
        <v>44.984999999999999</v>
      </c>
      <c r="M267" s="3">
        <f>SUMIFS(ledger!$E$2:$E$548, ledger!$C$2:$C$548, B267, ledger!$I$2:$I$548, G267)</f>
        <v>4498</v>
      </c>
      <c r="N267" s="3" t="str">
        <f t="shared" si="9"/>
        <v>Standard</v>
      </c>
    </row>
    <row r="268" spans="1:14" x14ac:dyDescent="0.3">
      <c r="A268" s="3" t="str">
        <f>ledger!A268</f>
        <v>TXN100266</v>
      </c>
      <c r="B268" s="3">
        <f>ledger!C268</f>
        <v>39</v>
      </c>
      <c r="C268" s="4" t="str">
        <f>IFERROR(VLOOKUP(B268, merchants!$A$2:$D$41, 2, FALSE), "Merchant not found")</f>
        <v>Merchant_039</v>
      </c>
      <c r="D268" s="3" t="str">
        <f>IFERROR(VLOOKUP(B268, merchants!$A$2:$D$41, 3, FALSE), "Merchant not found")</f>
        <v>entertainment</v>
      </c>
      <c r="E268" s="3" t="str">
        <f>IFERROR(VLOOKUP(B268, merchants!$A$2:$D$41, 4, FALSE), "Merchant not found")</f>
        <v>North</v>
      </c>
      <c r="F268" s="4">
        <f>ledger!D268</f>
        <v>46039.548611111109</v>
      </c>
      <c r="G268" s="5">
        <f>ledger!I268</f>
        <v>46039</v>
      </c>
      <c r="H268" s="3">
        <f>ledger!E268</f>
        <v>2999</v>
      </c>
      <c r="I268" s="3" t="str">
        <f>ledger!F268</f>
        <v>Wallet</v>
      </c>
      <c r="J268" s="3" t="str">
        <f>ledger!G268</f>
        <v>captured</v>
      </c>
      <c r="K268" s="9">
        <f>HLOOKUP(I268,Fee!$B$1:$E$2,2,FALSE())</f>
        <v>1.4999999999999999E-2</v>
      </c>
      <c r="L268" s="12">
        <f t="shared" si="8"/>
        <v>44.984999999999999</v>
      </c>
      <c r="M268" s="3">
        <f>SUMIFS(ledger!$E$2:$E$548, ledger!$C$2:$C$548, B268, ledger!$I$2:$I$548, G268)</f>
        <v>2999</v>
      </c>
      <c r="N268" s="3" t="str">
        <f t="shared" si="9"/>
        <v>Standard</v>
      </c>
    </row>
    <row r="269" spans="1:14" x14ac:dyDescent="0.3">
      <c r="A269" s="3" t="str">
        <f>ledger!A269</f>
        <v>TXN100267</v>
      </c>
      <c r="B269" s="3">
        <f>ledger!C269</f>
        <v>31</v>
      </c>
      <c r="C269" s="4" t="str">
        <f>IFERROR(VLOOKUP(B269, merchants!$A$2:$D$41, 2, FALSE), "Merchant not found")</f>
        <v>Merchant_031</v>
      </c>
      <c r="D269" s="3" t="str">
        <f>IFERROR(VLOOKUP(B269, merchants!$A$2:$D$41, 3, FALSE), "Merchant not found")</f>
        <v>bill_payment</v>
      </c>
      <c r="E269" s="3" t="str">
        <f>IFERROR(VLOOKUP(B269, merchants!$A$2:$D$41, 4, FALSE), "Merchant not found")</f>
        <v>East</v>
      </c>
      <c r="F269" s="4">
        <f>ledger!D269</f>
        <v>46050.335416666669</v>
      </c>
      <c r="G269" s="5">
        <f>ledger!I269</f>
        <v>46050</v>
      </c>
      <c r="H269" s="3">
        <f>ledger!E269</f>
        <v>299</v>
      </c>
      <c r="I269" s="3" t="str">
        <f>ledger!F269</f>
        <v>Wallet</v>
      </c>
      <c r="J269" s="3" t="str">
        <f>ledger!G269</f>
        <v>captured</v>
      </c>
      <c r="K269" s="9">
        <f>HLOOKUP(I269,Fee!$B$1:$E$2,2,FALSE())</f>
        <v>1.4999999999999999E-2</v>
      </c>
      <c r="L269" s="12">
        <f t="shared" si="8"/>
        <v>4.4849999999999994</v>
      </c>
      <c r="M269" s="3">
        <f>SUMIFS(ledger!$E$2:$E$548, ledger!$C$2:$C$548, B269, ledger!$I$2:$I$548, G269)</f>
        <v>299</v>
      </c>
      <c r="N269" s="3" t="str">
        <f t="shared" si="9"/>
        <v>Standard</v>
      </c>
    </row>
    <row r="270" spans="1:14" x14ac:dyDescent="0.3">
      <c r="A270" s="3" t="str">
        <f>ledger!A270</f>
        <v>TXN100268</v>
      </c>
      <c r="B270" s="3">
        <f>ledger!C270</f>
        <v>8</v>
      </c>
      <c r="C270" s="4" t="str">
        <f>IFERROR(VLOOKUP(B270, merchants!$A$2:$D$41, 2, FALSE), "Merchant not found")</f>
        <v>Merchant_008</v>
      </c>
      <c r="D270" s="3" t="str">
        <f>IFERROR(VLOOKUP(B270, merchants!$A$2:$D$41, 3, FALSE), "Merchant not found")</f>
        <v>food_delivery</v>
      </c>
      <c r="E270" s="3" t="str">
        <f>IFERROR(VLOOKUP(B270, merchants!$A$2:$D$41, 4, FALSE), "Merchant not found")</f>
        <v>North</v>
      </c>
      <c r="F270" s="4">
        <f>ledger!D270</f>
        <v>46040.15625</v>
      </c>
      <c r="G270" s="5">
        <f>ledger!I270</f>
        <v>46040</v>
      </c>
      <c r="H270" s="3">
        <f>ledger!E270</f>
        <v>499</v>
      </c>
      <c r="I270" s="3" t="str">
        <f>ledger!F270</f>
        <v>Netbanking</v>
      </c>
      <c r="J270" s="3" t="str">
        <f>ledger!G270</f>
        <v>captured</v>
      </c>
      <c r="K270" s="9">
        <f>HLOOKUP(I270,Fee!$B$1:$E$2,2,FALSE())</f>
        <v>1.7999999999999999E-2</v>
      </c>
      <c r="L270" s="12">
        <f t="shared" si="8"/>
        <v>8.9819999999999993</v>
      </c>
      <c r="M270" s="3">
        <f>SUMIFS(ledger!$E$2:$E$548, ledger!$C$2:$C$548, B270, ledger!$I$2:$I$548, G270)</f>
        <v>499</v>
      </c>
      <c r="N270" s="3" t="str">
        <f t="shared" si="9"/>
        <v>Standard</v>
      </c>
    </row>
    <row r="271" spans="1:14" x14ac:dyDescent="0.3">
      <c r="A271" s="3" t="str">
        <f>ledger!A271</f>
        <v>TXN100269</v>
      </c>
      <c r="B271" s="3">
        <f>ledger!C271</f>
        <v>33</v>
      </c>
      <c r="C271" s="4" t="str">
        <f>IFERROR(VLOOKUP(B271, merchants!$A$2:$D$41, 2, FALSE), "Merchant not found")</f>
        <v>Merchant_033</v>
      </c>
      <c r="D271" s="3" t="str">
        <f>IFERROR(VLOOKUP(B271, merchants!$A$2:$D$41, 3, FALSE), "Merchant not found")</f>
        <v>bill_payment</v>
      </c>
      <c r="E271" s="3" t="str">
        <f>IFERROR(VLOOKUP(B271, merchants!$A$2:$D$41, 4, FALSE), "Merchant not found")</f>
        <v>East</v>
      </c>
      <c r="F271" s="4">
        <f>ledger!D271</f>
        <v>46025.220138888886</v>
      </c>
      <c r="G271" s="5">
        <f>ledger!I271</f>
        <v>46025</v>
      </c>
      <c r="H271" s="3">
        <f>ledger!E271</f>
        <v>149</v>
      </c>
      <c r="I271" s="3" t="str">
        <f>ledger!F271</f>
        <v>UPI</v>
      </c>
      <c r="J271" s="3" t="str">
        <f>ledger!G271</f>
        <v>failed</v>
      </c>
      <c r="K271" s="9">
        <f>HLOOKUP(I271,Fee!$B$1:$E$2,2,FALSE())</f>
        <v>5.0000000000000001E-3</v>
      </c>
      <c r="L271" s="12">
        <f t="shared" si="8"/>
        <v>0.745</v>
      </c>
      <c r="M271" s="3">
        <f>SUMIFS(ledger!$E$2:$E$548, ledger!$C$2:$C$548, B271, ledger!$I$2:$I$548, G271)</f>
        <v>149</v>
      </c>
      <c r="N271" s="3" t="str">
        <f t="shared" si="9"/>
        <v>Standard</v>
      </c>
    </row>
    <row r="272" spans="1:14" x14ac:dyDescent="0.3">
      <c r="A272" s="3" t="str">
        <f>ledger!A272</f>
        <v>TXN100270</v>
      </c>
      <c r="B272" s="3">
        <f>ledger!C272</f>
        <v>29</v>
      </c>
      <c r="C272" s="4" t="str">
        <f>IFERROR(VLOOKUP(B272, merchants!$A$2:$D$41, 2, FALSE), "Merchant not found")</f>
        <v>Merchant_029</v>
      </c>
      <c r="D272" s="3" t="str">
        <f>IFERROR(VLOOKUP(B272, merchants!$A$2:$D$41, 3, FALSE), "Merchant not found")</f>
        <v>ecommerce</v>
      </c>
      <c r="E272" s="3" t="str">
        <f>IFERROR(VLOOKUP(B272, merchants!$A$2:$D$41, 4, FALSE), "Merchant not found")</f>
        <v>North</v>
      </c>
      <c r="F272" s="4">
        <f>ledger!D272</f>
        <v>46049.545138888891</v>
      </c>
      <c r="G272" s="5">
        <f>ledger!I272</f>
        <v>46049</v>
      </c>
      <c r="H272" s="3">
        <f>ledger!E272</f>
        <v>799</v>
      </c>
      <c r="I272" s="3" t="str">
        <f>ledger!F272</f>
        <v>UPI</v>
      </c>
      <c r="J272" s="3" t="str">
        <f>ledger!G272</f>
        <v>chargeback</v>
      </c>
      <c r="K272" s="9">
        <f>HLOOKUP(I272,Fee!$B$1:$E$2,2,FALSE())</f>
        <v>5.0000000000000001E-3</v>
      </c>
      <c r="L272" s="12">
        <f t="shared" si="8"/>
        <v>3.9950000000000001</v>
      </c>
      <c r="M272" s="3">
        <f>SUMIFS(ledger!$E$2:$E$548, ledger!$C$2:$C$548, B272, ledger!$I$2:$I$548, G272)</f>
        <v>898</v>
      </c>
      <c r="N272" s="3" t="str">
        <f t="shared" si="9"/>
        <v>Standard</v>
      </c>
    </row>
    <row r="273" spans="1:14" x14ac:dyDescent="0.3">
      <c r="A273" s="3" t="str">
        <f>ledger!A273</f>
        <v>TXN100271</v>
      </c>
      <c r="B273" s="3">
        <f>ledger!C273</f>
        <v>26</v>
      </c>
      <c r="C273" s="4" t="str">
        <f>IFERROR(VLOOKUP(B273, merchants!$A$2:$D$41, 2, FALSE), "Merchant not found")</f>
        <v>Merchant_026</v>
      </c>
      <c r="D273" s="3" t="str">
        <f>IFERROR(VLOOKUP(B273, merchants!$A$2:$D$41, 3, FALSE), "Merchant not found")</f>
        <v>food_delivery</v>
      </c>
      <c r="E273" s="3" t="str">
        <f>IFERROR(VLOOKUP(B273, merchants!$A$2:$D$41, 4, FALSE), "Merchant not found")</f>
        <v>East</v>
      </c>
      <c r="F273" s="4">
        <f>ledger!D273</f>
        <v>46052.018055555556</v>
      </c>
      <c r="G273" s="5">
        <f>ledger!I273</f>
        <v>46052</v>
      </c>
      <c r="H273" s="3">
        <f>ledger!E273</f>
        <v>1499</v>
      </c>
      <c r="I273" s="3" t="str">
        <f>ledger!F273</f>
        <v>UPI</v>
      </c>
      <c r="J273" s="3" t="str">
        <f>ledger!G273</f>
        <v>failed</v>
      </c>
      <c r="K273" s="9">
        <f>HLOOKUP(I273,Fee!$B$1:$E$2,2,FALSE())</f>
        <v>5.0000000000000001E-3</v>
      </c>
      <c r="L273" s="12">
        <f t="shared" si="8"/>
        <v>7.4950000000000001</v>
      </c>
      <c r="M273" s="3">
        <f>SUMIFS(ledger!$E$2:$E$548, ledger!$C$2:$C$548, B273, ledger!$I$2:$I$548, G273)</f>
        <v>1499</v>
      </c>
      <c r="N273" s="3" t="str">
        <f t="shared" si="9"/>
        <v>Standard</v>
      </c>
    </row>
    <row r="274" spans="1:14" x14ac:dyDescent="0.3">
      <c r="A274" s="3" t="str">
        <f>ledger!A274</f>
        <v>TXN100272</v>
      </c>
      <c r="B274" s="3">
        <f>ledger!C274</f>
        <v>24</v>
      </c>
      <c r="C274" s="4" t="str">
        <f>IFERROR(VLOOKUP(B274, merchants!$A$2:$D$41, 2, FALSE), "Merchant not found")</f>
        <v>Merchant_024</v>
      </c>
      <c r="D274" s="3" t="str">
        <f>IFERROR(VLOOKUP(B274, merchants!$A$2:$D$41, 3, FALSE), "Merchant not found")</f>
        <v>grocery</v>
      </c>
      <c r="E274" s="3" t="str">
        <f>IFERROR(VLOOKUP(B274, merchants!$A$2:$D$41, 4, FALSE), "Merchant not found")</f>
        <v>North</v>
      </c>
      <c r="F274" s="4">
        <f>ledger!D274</f>
        <v>46034.308333333334</v>
      </c>
      <c r="G274" s="5">
        <f>ledger!I274</f>
        <v>46034</v>
      </c>
      <c r="H274" s="3">
        <f>ledger!E274</f>
        <v>149</v>
      </c>
      <c r="I274" s="3" t="str">
        <f>ledger!F274</f>
        <v>UPI</v>
      </c>
      <c r="J274" s="3" t="str">
        <f>ledger!G274</f>
        <v>captured</v>
      </c>
      <c r="K274" s="9">
        <f>HLOOKUP(I274,Fee!$B$1:$E$2,2,FALSE())</f>
        <v>5.0000000000000001E-3</v>
      </c>
      <c r="L274" s="12">
        <f t="shared" si="8"/>
        <v>0.745</v>
      </c>
      <c r="M274" s="3">
        <f>SUMIFS(ledger!$E$2:$E$548, ledger!$C$2:$C$548, B274, ledger!$I$2:$I$548, G274)</f>
        <v>149</v>
      </c>
      <c r="N274" s="3" t="str">
        <f t="shared" si="9"/>
        <v>Standard</v>
      </c>
    </row>
    <row r="275" spans="1:14" x14ac:dyDescent="0.3">
      <c r="A275" s="3" t="str">
        <f>ledger!A275</f>
        <v>TXN100273</v>
      </c>
      <c r="B275" s="3">
        <f>ledger!C275</f>
        <v>22</v>
      </c>
      <c r="C275" s="4" t="str">
        <f>IFERROR(VLOOKUP(B275, merchants!$A$2:$D$41, 2, FALSE), "Merchant not found")</f>
        <v>Merchant_022</v>
      </c>
      <c r="D275" s="3" t="str">
        <f>IFERROR(VLOOKUP(B275, merchants!$A$2:$D$41, 3, FALSE), "Merchant not found")</f>
        <v>travel</v>
      </c>
      <c r="E275" s="3" t="str">
        <f>IFERROR(VLOOKUP(B275, merchants!$A$2:$D$41, 4, FALSE), "Merchant not found")</f>
        <v>South</v>
      </c>
      <c r="F275" s="4">
        <f>ledger!D275</f>
        <v>46023.457638888889</v>
      </c>
      <c r="G275" s="5">
        <f>ledger!I275</f>
        <v>46023</v>
      </c>
      <c r="H275" s="3">
        <f>ledger!E275</f>
        <v>799</v>
      </c>
      <c r="I275" s="3" t="str">
        <f>ledger!F275</f>
        <v>UPI</v>
      </c>
      <c r="J275" s="3" t="str">
        <f>ledger!G275</f>
        <v>captured</v>
      </c>
      <c r="K275" s="9">
        <f>HLOOKUP(I275,Fee!$B$1:$E$2,2,FALSE())</f>
        <v>5.0000000000000001E-3</v>
      </c>
      <c r="L275" s="12">
        <f t="shared" si="8"/>
        <v>3.9950000000000001</v>
      </c>
      <c r="M275" s="3">
        <f>SUMIFS(ledger!$E$2:$E$548, ledger!$C$2:$C$548, B275, ledger!$I$2:$I$548, G275)</f>
        <v>799</v>
      </c>
      <c r="N275" s="3" t="str">
        <f t="shared" si="9"/>
        <v>Standard</v>
      </c>
    </row>
    <row r="276" spans="1:14" x14ac:dyDescent="0.3">
      <c r="A276" s="3" t="str">
        <f>ledger!A276</f>
        <v>TXN100274</v>
      </c>
      <c r="B276" s="3">
        <f>ledger!C276</f>
        <v>9</v>
      </c>
      <c r="C276" s="4" t="str">
        <f>IFERROR(VLOOKUP(B276, merchants!$A$2:$D$41, 2, FALSE), "Merchant not found")</f>
        <v>Merchant_009</v>
      </c>
      <c r="D276" s="3" t="str">
        <f>IFERROR(VLOOKUP(B276, merchants!$A$2:$D$41, 3, FALSE), "Merchant not found")</f>
        <v>ecommerce</v>
      </c>
      <c r="E276" s="3" t="str">
        <f>IFERROR(VLOOKUP(B276, merchants!$A$2:$D$41, 4, FALSE), "Merchant not found")</f>
        <v>North</v>
      </c>
      <c r="F276" s="4">
        <f>ledger!D276</f>
        <v>46027.054166666669</v>
      </c>
      <c r="G276" s="5">
        <f>ledger!I276</f>
        <v>46027</v>
      </c>
      <c r="H276" s="3">
        <f>ledger!E276</f>
        <v>149</v>
      </c>
      <c r="I276" s="3" t="str">
        <f>ledger!F276</f>
        <v>UPI</v>
      </c>
      <c r="J276" s="3" t="str">
        <f>ledger!G276</f>
        <v>captured</v>
      </c>
      <c r="K276" s="9">
        <f>HLOOKUP(I276,Fee!$B$1:$E$2,2,FALSE())</f>
        <v>5.0000000000000001E-3</v>
      </c>
      <c r="L276" s="12">
        <f t="shared" si="8"/>
        <v>0.745</v>
      </c>
      <c r="M276" s="3">
        <f>SUMIFS(ledger!$E$2:$E$548, ledger!$C$2:$C$548, B276, ledger!$I$2:$I$548, G276)</f>
        <v>149</v>
      </c>
      <c r="N276" s="3" t="str">
        <f t="shared" si="9"/>
        <v>Standard</v>
      </c>
    </row>
    <row r="277" spans="1:14" x14ac:dyDescent="0.3">
      <c r="A277" s="3" t="str">
        <f>ledger!A277</f>
        <v>TXN100275</v>
      </c>
      <c r="B277" s="3">
        <f>ledger!C277</f>
        <v>1</v>
      </c>
      <c r="C277" s="4" t="str">
        <f>IFERROR(VLOOKUP(B277, merchants!$A$2:$D$41, 2, FALSE), "Merchant not found")</f>
        <v>Merchant_001</v>
      </c>
      <c r="D277" s="3" t="str">
        <f>IFERROR(VLOOKUP(B277, merchants!$A$2:$D$41, 3, FALSE), "Merchant not found")</f>
        <v>ecommerce</v>
      </c>
      <c r="E277" s="3" t="str">
        <f>IFERROR(VLOOKUP(B277, merchants!$A$2:$D$41, 4, FALSE), "Merchant not found")</f>
        <v>South</v>
      </c>
      <c r="F277" s="4">
        <f>ledger!D277</f>
        <v>46045.644444444442</v>
      </c>
      <c r="G277" s="5">
        <f>ledger!I277</f>
        <v>46045</v>
      </c>
      <c r="H277" s="3">
        <f>ledger!E277</f>
        <v>149</v>
      </c>
      <c r="I277" s="3" t="str">
        <f>ledger!F277</f>
        <v>UPI</v>
      </c>
      <c r="J277" s="3" t="str">
        <f>ledger!G277</f>
        <v>captured</v>
      </c>
      <c r="K277" s="9">
        <f>HLOOKUP(I277,Fee!$B$1:$E$2,2,FALSE())</f>
        <v>5.0000000000000001E-3</v>
      </c>
      <c r="L277" s="12">
        <f t="shared" si="8"/>
        <v>0.745</v>
      </c>
      <c r="M277" s="3">
        <f>SUMIFS(ledger!$E$2:$E$548, ledger!$C$2:$C$548, B277, ledger!$I$2:$I$548, G277)</f>
        <v>3148</v>
      </c>
      <c r="N277" s="3" t="str">
        <f t="shared" si="9"/>
        <v>Standard</v>
      </c>
    </row>
    <row r="278" spans="1:14" x14ac:dyDescent="0.3">
      <c r="A278" s="3" t="str">
        <f>ledger!A278</f>
        <v>TXN100276</v>
      </c>
      <c r="B278" s="3">
        <f>ledger!C278</f>
        <v>36</v>
      </c>
      <c r="C278" s="4" t="str">
        <f>IFERROR(VLOOKUP(B278, merchants!$A$2:$D$41, 2, FALSE), "Merchant not found")</f>
        <v>Merchant_036</v>
      </c>
      <c r="D278" s="3" t="str">
        <f>IFERROR(VLOOKUP(B278, merchants!$A$2:$D$41, 3, FALSE), "Merchant not found")</f>
        <v>entertainment</v>
      </c>
      <c r="E278" s="3" t="str">
        <f>IFERROR(VLOOKUP(B278, merchants!$A$2:$D$41, 4, FALSE), "Merchant not found")</f>
        <v>East</v>
      </c>
      <c r="F278" s="4">
        <f>ledger!D278</f>
        <v>46023.342361111114</v>
      </c>
      <c r="G278" s="5">
        <f>ledger!I278</f>
        <v>46023</v>
      </c>
      <c r="H278" s="3">
        <f>ledger!E278</f>
        <v>149</v>
      </c>
      <c r="I278" s="3" t="str">
        <f>ledger!F278</f>
        <v>UPI</v>
      </c>
      <c r="J278" s="3" t="str">
        <f>ledger!G278</f>
        <v>captured</v>
      </c>
      <c r="K278" s="9">
        <f>HLOOKUP(I278,Fee!$B$1:$E$2,2,FALSE())</f>
        <v>5.0000000000000001E-3</v>
      </c>
      <c r="L278" s="12">
        <f t="shared" si="8"/>
        <v>0.745</v>
      </c>
      <c r="M278" s="3">
        <f>SUMIFS(ledger!$E$2:$E$548, ledger!$C$2:$C$548, B278, ledger!$I$2:$I$548, G278)</f>
        <v>149</v>
      </c>
      <c r="N278" s="3" t="str">
        <f t="shared" si="9"/>
        <v>Standard</v>
      </c>
    </row>
    <row r="279" spans="1:14" x14ac:dyDescent="0.3">
      <c r="A279" s="3" t="str">
        <f>ledger!A279</f>
        <v>TXN100277</v>
      </c>
      <c r="B279" s="3">
        <f>ledger!C279</f>
        <v>19</v>
      </c>
      <c r="C279" s="4" t="str">
        <f>IFERROR(VLOOKUP(B279, merchants!$A$2:$D$41, 2, FALSE), "Merchant not found")</f>
        <v>Merchant_019</v>
      </c>
      <c r="D279" s="3" t="str">
        <f>IFERROR(VLOOKUP(B279, merchants!$A$2:$D$41, 3, FALSE), "Merchant not found")</f>
        <v>grocery</v>
      </c>
      <c r="E279" s="3" t="str">
        <f>IFERROR(VLOOKUP(B279, merchants!$A$2:$D$41, 4, FALSE), "Merchant not found")</f>
        <v>North</v>
      </c>
      <c r="F279" s="4">
        <f>ledger!D279</f>
        <v>46042.685416666667</v>
      </c>
      <c r="G279" s="5">
        <f>ledger!I279</f>
        <v>46042</v>
      </c>
      <c r="H279" s="3">
        <f>ledger!E279</f>
        <v>49</v>
      </c>
      <c r="I279" s="3" t="str">
        <f>ledger!F279</f>
        <v>UPI</v>
      </c>
      <c r="J279" s="3" t="str">
        <f>ledger!G279</f>
        <v>captured</v>
      </c>
      <c r="K279" s="9">
        <f>HLOOKUP(I279,Fee!$B$1:$E$2,2,FALSE())</f>
        <v>5.0000000000000001E-3</v>
      </c>
      <c r="L279" s="12">
        <f t="shared" si="8"/>
        <v>0.245</v>
      </c>
      <c r="M279" s="3">
        <f>SUMIFS(ledger!$E$2:$E$548, ledger!$C$2:$C$548, B279, ledger!$I$2:$I$548, G279)</f>
        <v>348</v>
      </c>
      <c r="N279" s="3" t="str">
        <f t="shared" si="9"/>
        <v>Standard</v>
      </c>
    </row>
    <row r="280" spans="1:14" x14ac:dyDescent="0.3">
      <c r="A280" s="3" t="str">
        <f>ledger!A280</f>
        <v>TXN100278</v>
      </c>
      <c r="B280" s="3">
        <f>ledger!C280</f>
        <v>27</v>
      </c>
      <c r="C280" s="4" t="str">
        <f>IFERROR(VLOOKUP(B280, merchants!$A$2:$D$41, 2, FALSE), "Merchant not found")</f>
        <v>Merchant_027</v>
      </c>
      <c r="D280" s="3" t="str">
        <f>IFERROR(VLOOKUP(B280, merchants!$A$2:$D$41, 3, FALSE), "Merchant not found")</f>
        <v>ecommerce</v>
      </c>
      <c r="E280" s="3" t="str">
        <f>IFERROR(VLOOKUP(B280, merchants!$A$2:$D$41, 4, FALSE), "Merchant not found")</f>
        <v>North</v>
      </c>
      <c r="F280" s="4">
        <f>ledger!D280</f>
        <v>46032.127083333333</v>
      </c>
      <c r="G280" s="5">
        <f>ledger!I280</f>
        <v>46032</v>
      </c>
      <c r="H280" s="3">
        <f>ledger!E280</f>
        <v>149</v>
      </c>
      <c r="I280" s="3" t="str">
        <f>ledger!F280</f>
        <v>Netbanking</v>
      </c>
      <c r="J280" s="3" t="str">
        <f>ledger!G280</f>
        <v>captured</v>
      </c>
      <c r="K280" s="9">
        <f>HLOOKUP(I280,Fee!$B$1:$E$2,2,FALSE())</f>
        <v>1.7999999999999999E-2</v>
      </c>
      <c r="L280" s="12">
        <f t="shared" si="8"/>
        <v>2.6819999999999999</v>
      </c>
      <c r="M280" s="3">
        <f>SUMIFS(ledger!$E$2:$E$548, ledger!$C$2:$C$548, B280, ledger!$I$2:$I$548, G280)</f>
        <v>149</v>
      </c>
      <c r="N280" s="3" t="str">
        <f t="shared" si="9"/>
        <v>Standard</v>
      </c>
    </row>
    <row r="281" spans="1:14" x14ac:dyDescent="0.3">
      <c r="A281" s="3" t="str">
        <f>ledger!A281</f>
        <v>TXN100279</v>
      </c>
      <c r="B281" s="3">
        <f>ledger!C281</f>
        <v>8</v>
      </c>
      <c r="C281" s="4" t="str">
        <f>IFERROR(VLOOKUP(B281, merchants!$A$2:$D$41, 2, FALSE), "Merchant not found")</f>
        <v>Merchant_008</v>
      </c>
      <c r="D281" s="3" t="str">
        <f>IFERROR(VLOOKUP(B281, merchants!$A$2:$D$41, 3, FALSE), "Merchant not found")</f>
        <v>food_delivery</v>
      </c>
      <c r="E281" s="3" t="str">
        <f>IFERROR(VLOOKUP(B281, merchants!$A$2:$D$41, 4, FALSE), "Merchant not found")</f>
        <v>North</v>
      </c>
      <c r="F281" s="4">
        <f>ledger!D281</f>
        <v>46048.811805555553</v>
      </c>
      <c r="G281" s="5">
        <f>ledger!I281</f>
        <v>46048</v>
      </c>
      <c r="H281" s="3">
        <f>ledger!E281</f>
        <v>299</v>
      </c>
      <c r="I281" s="3" t="str">
        <f>ledger!F281</f>
        <v>Wallet</v>
      </c>
      <c r="J281" s="3" t="str">
        <f>ledger!G281</f>
        <v>captured</v>
      </c>
      <c r="K281" s="9">
        <f>HLOOKUP(I281,Fee!$B$1:$E$2,2,FALSE())</f>
        <v>1.4999999999999999E-2</v>
      </c>
      <c r="L281" s="12">
        <f t="shared" si="8"/>
        <v>4.4849999999999994</v>
      </c>
      <c r="M281" s="3">
        <f>SUMIFS(ledger!$E$2:$E$548, ledger!$C$2:$C$548, B281, ledger!$I$2:$I$548, G281)</f>
        <v>598</v>
      </c>
      <c r="N281" s="3" t="str">
        <f t="shared" si="9"/>
        <v>Standard</v>
      </c>
    </row>
    <row r="282" spans="1:14" x14ac:dyDescent="0.3">
      <c r="A282" s="3" t="str">
        <f>ledger!A282</f>
        <v>TXN100280</v>
      </c>
      <c r="B282" s="3">
        <f>ledger!C282</f>
        <v>33</v>
      </c>
      <c r="C282" s="4" t="str">
        <f>IFERROR(VLOOKUP(B282, merchants!$A$2:$D$41, 2, FALSE), "Merchant not found")</f>
        <v>Merchant_033</v>
      </c>
      <c r="D282" s="3" t="str">
        <f>IFERROR(VLOOKUP(B282, merchants!$A$2:$D$41, 3, FALSE), "Merchant not found")</f>
        <v>bill_payment</v>
      </c>
      <c r="E282" s="3" t="str">
        <f>IFERROR(VLOOKUP(B282, merchants!$A$2:$D$41, 4, FALSE), "Merchant not found")</f>
        <v>East</v>
      </c>
      <c r="F282" s="4">
        <f>ledger!D282</f>
        <v>46042.709027777775</v>
      </c>
      <c r="G282" s="5">
        <f>ledger!I282</f>
        <v>46042</v>
      </c>
      <c r="H282" s="3">
        <f>ledger!E282</f>
        <v>499</v>
      </c>
      <c r="I282" s="3" t="str">
        <f>ledger!F282</f>
        <v>UPI</v>
      </c>
      <c r="J282" s="3" t="str">
        <f>ledger!G282</f>
        <v>captured</v>
      </c>
      <c r="K282" s="9">
        <f>HLOOKUP(I282,Fee!$B$1:$E$2,2,FALSE())</f>
        <v>5.0000000000000001E-3</v>
      </c>
      <c r="L282" s="12">
        <f t="shared" si="8"/>
        <v>2.4950000000000001</v>
      </c>
      <c r="M282" s="3">
        <f>SUMIFS(ledger!$E$2:$E$548, ledger!$C$2:$C$548, B282, ledger!$I$2:$I$548, G282)</f>
        <v>499</v>
      </c>
      <c r="N282" s="3" t="str">
        <f t="shared" si="9"/>
        <v>Standard</v>
      </c>
    </row>
    <row r="283" spans="1:14" x14ac:dyDescent="0.3">
      <c r="A283" s="3" t="str">
        <f>ledger!A283</f>
        <v>TXN100281</v>
      </c>
      <c r="B283" s="3">
        <f>ledger!C283</f>
        <v>28</v>
      </c>
      <c r="C283" s="4" t="str">
        <f>IFERROR(VLOOKUP(B283, merchants!$A$2:$D$41, 2, FALSE), "Merchant not found")</f>
        <v>Merchant_028</v>
      </c>
      <c r="D283" s="3" t="str">
        <f>IFERROR(VLOOKUP(B283, merchants!$A$2:$D$41, 3, FALSE), "Merchant not found")</f>
        <v>ecommerce</v>
      </c>
      <c r="E283" s="3" t="str">
        <f>IFERROR(VLOOKUP(B283, merchants!$A$2:$D$41, 4, FALSE), "Merchant not found")</f>
        <v>South</v>
      </c>
      <c r="F283" s="4">
        <f>ledger!D283</f>
        <v>46030.92291666667</v>
      </c>
      <c r="G283" s="5">
        <f>ledger!I283</f>
        <v>46030</v>
      </c>
      <c r="H283" s="3">
        <f>ledger!E283</f>
        <v>49</v>
      </c>
      <c r="I283" s="3" t="str">
        <f>ledger!F283</f>
        <v>UPI</v>
      </c>
      <c r="J283" s="3" t="str">
        <f>ledger!G283</f>
        <v>failed</v>
      </c>
      <c r="K283" s="9">
        <f>HLOOKUP(I283,Fee!$B$1:$E$2,2,FALSE())</f>
        <v>5.0000000000000001E-3</v>
      </c>
      <c r="L283" s="12">
        <f t="shared" si="8"/>
        <v>0.245</v>
      </c>
      <c r="M283" s="3">
        <f>SUMIFS(ledger!$E$2:$E$548, ledger!$C$2:$C$548, B283, ledger!$I$2:$I$548, G283)</f>
        <v>49</v>
      </c>
      <c r="N283" s="3" t="str">
        <f t="shared" si="9"/>
        <v>Standard</v>
      </c>
    </row>
    <row r="284" spans="1:14" x14ac:dyDescent="0.3">
      <c r="A284" s="3" t="str">
        <f>ledger!A284</f>
        <v>TXN100282</v>
      </c>
      <c r="B284" s="3">
        <f>ledger!C284</f>
        <v>27</v>
      </c>
      <c r="C284" s="4" t="str">
        <f>IFERROR(VLOOKUP(B284, merchants!$A$2:$D$41, 2, FALSE), "Merchant not found")</f>
        <v>Merchant_027</v>
      </c>
      <c r="D284" s="3" t="str">
        <f>IFERROR(VLOOKUP(B284, merchants!$A$2:$D$41, 3, FALSE), "Merchant not found")</f>
        <v>ecommerce</v>
      </c>
      <c r="E284" s="3" t="str">
        <f>IFERROR(VLOOKUP(B284, merchants!$A$2:$D$41, 4, FALSE), "Merchant not found")</f>
        <v>North</v>
      </c>
      <c r="F284" s="4">
        <f>ledger!D284</f>
        <v>46042.46875</v>
      </c>
      <c r="G284" s="5">
        <f>ledger!I284</f>
        <v>46042</v>
      </c>
      <c r="H284" s="3">
        <f>ledger!E284</f>
        <v>4999</v>
      </c>
      <c r="I284" s="3" t="str">
        <f>ledger!F284</f>
        <v>UPI</v>
      </c>
      <c r="J284" s="3" t="str">
        <f>ledger!G284</f>
        <v>captured</v>
      </c>
      <c r="K284" s="9">
        <f>HLOOKUP(I284,Fee!$B$1:$E$2,2,FALSE())</f>
        <v>5.0000000000000001E-3</v>
      </c>
      <c r="L284" s="12">
        <f t="shared" si="8"/>
        <v>24.995000000000001</v>
      </c>
      <c r="M284" s="3">
        <f>SUMIFS(ledger!$E$2:$E$548, ledger!$C$2:$C$548, B284, ledger!$I$2:$I$548, G284)</f>
        <v>4999</v>
      </c>
      <c r="N284" s="3" t="str">
        <f t="shared" si="9"/>
        <v>Standard</v>
      </c>
    </row>
    <row r="285" spans="1:14" x14ac:dyDescent="0.3">
      <c r="A285" s="3" t="str">
        <f>ledger!A285</f>
        <v>TXN100283</v>
      </c>
      <c r="B285" s="3">
        <f>ledger!C285</f>
        <v>24</v>
      </c>
      <c r="C285" s="4" t="str">
        <f>IFERROR(VLOOKUP(B285, merchants!$A$2:$D$41, 2, FALSE), "Merchant not found")</f>
        <v>Merchant_024</v>
      </c>
      <c r="D285" s="3" t="str">
        <f>IFERROR(VLOOKUP(B285, merchants!$A$2:$D$41, 3, FALSE), "Merchant not found")</f>
        <v>grocery</v>
      </c>
      <c r="E285" s="3" t="str">
        <f>IFERROR(VLOOKUP(B285, merchants!$A$2:$D$41, 4, FALSE), "Merchant not found")</f>
        <v>North</v>
      </c>
      <c r="F285" s="4">
        <f>ledger!D285</f>
        <v>46044.878472222219</v>
      </c>
      <c r="G285" s="5">
        <f>ledger!I285</f>
        <v>46044</v>
      </c>
      <c r="H285" s="3">
        <f>ledger!E285</f>
        <v>49</v>
      </c>
      <c r="I285" s="3" t="str">
        <f>ledger!F285</f>
        <v>Wallet</v>
      </c>
      <c r="J285" s="3" t="str">
        <f>ledger!G285</f>
        <v>captured</v>
      </c>
      <c r="K285" s="9">
        <f>HLOOKUP(I285,Fee!$B$1:$E$2,2,FALSE())</f>
        <v>1.4999999999999999E-2</v>
      </c>
      <c r="L285" s="12">
        <f t="shared" si="8"/>
        <v>0.73499999999999999</v>
      </c>
      <c r="M285" s="3">
        <f>SUMIFS(ledger!$E$2:$E$548, ledger!$C$2:$C$548, B285, ledger!$I$2:$I$548, G285)</f>
        <v>49</v>
      </c>
      <c r="N285" s="3" t="str">
        <f t="shared" si="9"/>
        <v>Standard</v>
      </c>
    </row>
    <row r="286" spans="1:14" x14ac:dyDescent="0.3">
      <c r="A286" s="3" t="str">
        <f>ledger!A286</f>
        <v>TXN100284</v>
      </c>
      <c r="B286" s="3">
        <f>ledger!C286</f>
        <v>36</v>
      </c>
      <c r="C286" s="4" t="str">
        <f>IFERROR(VLOOKUP(B286, merchants!$A$2:$D$41, 2, FALSE), "Merchant not found")</f>
        <v>Merchant_036</v>
      </c>
      <c r="D286" s="3" t="str">
        <f>IFERROR(VLOOKUP(B286, merchants!$A$2:$D$41, 3, FALSE), "Merchant not found")</f>
        <v>entertainment</v>
      </c>
      <c r="E286" s="3" t="str">
        <f>IFERROR(VLOOKUP(B286, merchants!$A$2:$D$41, 4, FALSE), "Merchant not found")</f>
        <v>East</v>
      </c>
      <c r="F286" s="4">
        <f>ledger!D286</f>
        <v>46039.730555555558</v>
      </c>
      <c r="G286" s="5">
        <f>ledger!I286</f>
        <v>46039</v>
      </c>
      <c r="H286" s="3">
        <f>ledger!E286</f>
        <v>1499</v>
      </c>
      <c r="I286" s="3" t="str">
        <f>ledger!F286</f>
        <v>UPI</v>
      </c>
      <c r="J286" s="3" t="str">
        <f>ledger!G286</f>
        <v>captured</v>
      </c>
      <c r="K286" s="9">
        <f>HLOOKUP(I286,Fee!$B$1:$E$2,2,FALSE())</f>
        <v>5.0000000000000001E-3</v>
      </c>
      <c r="L286" s="12">
        <f t="shared" si="8"/>
        <v>7.4950000000000001</v>
      </c>
      <c r="M286" s="3">
        <f>SUMIFS(ledger!$E$2:$E$548, ledger!$C$2:$C$548, B286, ledger!$I$2:$I$548, G286)</f>
        <v>1499</v>
      </c>
      <c r="N286" s="3" t="str">
        <f t="shared" si="9"/>
        <v>Standard</v>
      </c>
    </row>
    <row r="287" spans="1:14" x14ac:dyDescent="0.3">
      <c r="A287" s="3" t="str">
        <f>ledger!A287</f>
        <v>TXN100285</v>
      </c>
      <c r="B287" s="3">
        <f>ledger!C287</f>
        <v>25</v>
      </c>
      <c r="C287" s="4" t="str">
        <f>IFERROR(VLOOKUP(B287, merchants!$A$2:$D$41, 2, FALSE), "Merchant not found")</f>
        <v>Merchant_025</v>
      </c>
      <c r="D287" s="3" t="str">
        <f>IFERROR(VLOOKUP(B287, merchants!$A$2:$D$41, 3, FALSE), "Merchant not found")</f>
        <v>travel</v>
      </c>
      <c r="E287" s="3" t="str">
        <f>IFERROR(VLOOKUP(B287, merchants!$A$2:$D$41, 4, FALSE), "Merchant not found")</f>
        <v>South</v>
      </c>
      <c r="F287" s="4">
        <f>ledger!D287</f>
        <v>46035.626388888886</v>
      </c>
      <c r="G287" s="5">
        <f>ledger!I287</f>
        <v>46035</v>
      </c>
      <c r="H287" s="3">
        <f>ledger!E287</f>
        <v>49</v>
      </c>
      <c r="I287" s="3" t="str">
        <f>ledger!F287</f>
        <v>UPI</v>
      </c>
      <c r="J287" s="3" t="str">
        <f>ledger!G287</f>
        <v>captured</v>
      </c>
      <c r="K287" s="9">
        <f>HLOOKUP(I287,Fee!$B$1:$E$2,2,FALSE())</f>
        <v>5.0000000000000001E-3</v>
      </c>
      <c r="L287" s="12">
        <f t="shared" si="8"/>
        <v>0.245</v>
      </c>
      <c r="M287" s="3">
        <f>SUMIFS(ledger!$E$2:$E$548, ledger!$C$2:$C$548, B287, ledger!$I$2:$I$548, G287)</f>
        <v>49</v>
      </c>
      <c r="N287" s="3" t="str">
        <f t="shared" si="9"/>
        <v>Standard</v>
      </c>
    </row>
    <row r="288" spans="1:14" x14ac:dyDescent="0.3">
      <c r="A288" s="3" t="str">
        <f>ledger!A288</f>
        <v>TXN100286</v>
      </c>
      <c r="B288" s="3">
        <f>ledger!C288</f>
        <v>5</v>
      </c>
      <c r="C288" s="4" t="str">
        <f>IFERROR(VLOOKUP(B288, merchants!$A$2:$D$41, 2, FALSE), "Merchant not found")</f>
        <v>Merchant_005</v>
      </c>
      <c r="D288" s="3" t="str">
        <f>IFERROR(VLOOKUP(B288, merchants!$A$2:$D$41, 3, FALSE), "Merchant not found")</f>
        <v>recharge</v>
      </c>
      <c r="E288" s="3" t="str">
        <f>IFERROR(VLOOKUP(B288, merchants!$A$2:$D$41, 4, FALSE), "Merchant not found")</f>
        <v>South</v>
      </c>
      <c r="F288" s="4">
        <f>ledger!D288</f>
        <v>46031.959027777775</v>
      </c>
      <c r="G288" s="5">
        <f>ledger!I288</f>
        <v>46031</v>
      </c>
      <c r="H288" s="3">
        <f>ledger!E288</f>
        <v>49</v>
      </c>
      <c r="I288" s="3" t="str">
        <f>ledger!F288</f>
        <v>Card</v>
      </c>
      <c r="J288" s="3" t="str">
        <f>ledger!G288</f>
        <v>captured</v>
      </c>
      <c r="K288" s="9">
        <f>HLOOKUP(I288,Fee!$B$1:$E$2,2,FALSE())</f>
        <v>0.02</v>
      </c>
      <c r="L288" s="12">
        <f t="shared" si="8"/>
        <v>0.98</v>
      </c>
      <c r="M288" s="3">
        <f>SUMIFS(ledger!$E$2:$E$548, ledger!$C$2:$C$548, B288, ledger!$I$2:$I$548, G288)</f>
        <v>348</v>
      </c>
      <c r="N288" s="3" t="str">
        <f t="shared" si="9"/>
        <v>Standard</v>
      </c>
    </row>
    <row r="289" spans="1:14" x14ac:dyDescent="0.3">
      <c r="A289" s="3" t="str">
        <f>ledger!A289</f>
        <v>TXN100287</v>
      </c>
      <c r="B289" s="3">
        <f>ledger!C289</f>
        <v>7</v>
      </c>
      <c r="C289" s="4" t="str">
        <f>IFERROR(VLOOKUP(B289, merchants!$A$2:$D$41, 2, FALSE), "Merchant not found")</f>
        <v>Merchant_007</v>
      </c>
      <c r="D289" s="3" t="str">
        <f>IFERROR(VLOOKUP(B289, merchants!$A$2:$D$41, 3, FALSE), "Merchant not found")</f>
        <v>food_delivery</v>
      </c>
      <c r="E289" s="3" t="str">
        <f>IFERROR(VLOOKUP(B289, merchants!$A$2:$D$41, 4, FALSE), "Merchant not found")</f>
        <v>East</v>
      </c>
      <c r="F289" s="4">
        <f>ledger!D289</f>
        <v>46030.987500000003</v>
      </c>
      <c r="G289" s="5">
        <f>ledger!I289</f>
        <v>46030</v>
      </c>
      <c r="H289" s="3">
        <f>ledger!E289</f>
        <v>299</v>
      </c>
      <c r="I289" s="3" t="str">
        <f>ledger!F289</f>
        <v>UPI</v>
      </c>
      <c r="J289" s="3" t="str">
        <f>ledger!G289</f>
        <v>captured</v>
      </c>
      <c r="K289" s="9">
        <f>HLOOKUP(I289,Fee!$B$1:$E$2,2,FALSE())</f>
        <v>5.0000000000000001E-3</v>
      </c>
      <c r="L289" s="12">
        <f t="shared" si="8"/>
        <v>1.4950000000000001</v>
      </c>
      <c r="M289" s="3">
        <f>SUMIFS(ledger!$E$2:$E$548, ledger!$C$2:$C$548, B289, ledger!$I$2:$I$548, G289)</f>
        <v>299</v>
      </c>
      <c r="N289" s="3" t="str">
        <f t="shared" si="9"/>
        <v>Standard</v>
      </c>
    </row>
    <row r="290" spans="1:14" x14ac:dyDescent="0.3">
      <c r="A290" s="3" t="str">
        <f>ledger!A290</f>
        <v>TXN100288</v>
      </c>
      <c r="B290" s="3">
        <f>ledger!C290</f>
        <v>9</v>
      </c>
      <c r="C290" s="4" t="str">
        <f>IFERROR(VLOOKUP(B290, merchants!$A$2:$D$41, 2, FALSE), "Merchant not found")</f>
        <v>Merchant_009</v>
      </c>
      <c r="D290" s="3" t="str">
        <f>IFERROR(VLOOKUP(B290, merchants!$A$2:$D$41, 3, FALSE), "Merchant not found")</f>
        <v>ecommerce</v>
      </c>
      <c r="E290" s="3" t="str">
        <f>IFERROR(VLOOKUP(B290, merchants!$A$2:$D$41, 4, FALSE), "Merchant not found")</f>
        <v>North</v>
      </c>
      <c r="F290" s="4">
        <f>ledger!D290</f>
        <v>46041.991666666669</v>
      </c>
      <c r="G290" s="5">
        <f>ledger!I290</f>
        <v>46041</v>
      </c>
      <c r="H290" s="3">
        <f>ledger!E290</f>
        <v>299</v>
      </c>
      <c r="I290" s="3" t="str">
        <f>ledger!F290</f>
        <v>UPI</v>
      </c>
      <c r="J290" s="3" t="str">
        <f>ledger!G290</f>
        <v>captured</v>
      </c>
      <c r="K290" s="9">
        <f>HLOOKUP(I290,Fee!$B$1:$E$2,2,FALSE())</f>
        <v>5.0000000000000001E-3</v>
      </c>
      <c r="L290" s="12">
        <f t="shared" si="8"/>
        <v>1.4950000000000001</v>
      </c>
      <c r="M290" s="3">
        <f>SUMIFS(ledger!$E$2:$E$548, ledger!$C$2:$C$548, B290, ledger!$I$2:$I$548, G290)</f>
        <v>299</v>
      </c>
      <c r="N290" s="3" t="str">
        <f t="shared" si="9"/>
        <v>Standard</v>
      </c>
    </row>
    <row r="291" spans="1:14" x14ac:dyDescent="0.3">
      <c r="A291" s="3" t="str">
        <f>ledger!A291</f>
        <v>TXN100289</v>
      </c>
      <c r="B291" s="3">
        <f>ledger!C291</f>
        <v>12</v>
      </c>
      <c r="C291" s="4" t="str">
        <f>IFERROR(VLOOKUP(B291, merchants!$A$2:$D$41, 2, FALSE), "Merchant not found")</f>
        <v>Merchant_012</v>
      </c>
      <c r="D291" s="3" t="str">
        <f>IFERROR(VLOOKUP(B291, merchants!$A$2:$D$41, 3, FALSE), "Merchant not found")</f>
        <v>ecommerce</v>
      </c>
      <c r="E291" s="3" t="str">
        <f>IFERROR(VLOOKUP(B291, merchants!$A$2:$D$41, 4, FALSE), "Merchant not found")</f>
        <v>East</v>
      </c>
      <c r="F291" s="4">
        <f>ledger!D291</f>
        <v>46034.722916666666</v>
      </c>
      <c r="G291" s="5">
        <f>ledger!I291</f>
        <v>46034</v>
      </c>
      <c r="H291" s="3">
        <f>ledger!E291</f>
        <v>1499</v>
      </c>
      <c r="I291" s="3" t="str">
        <f>ledger!F291</f>
        <v>Netbanking</v>
      </c>
      <c r="J291" s="3" t="str">
        <f>ledger!G291</f>
        <v>captured</v>
      </c>
      <c r="K291" s="9">
        <f>HLOOKUP(I291,Fee!$B$1:$E$2,2,FALSE())</f>
        <v>1.7999999999999999E-2</v>
      </c>
      <c r="L291" s="12">
        <f t="shared" si="8"/>
        <v>26.981999999999999</v>
      </c>
      <c r="M291" s="3">
        <f>SUMIFS(ledger!$E$2:$E$548, ledger!$C$2:$C$548, B291, ledger!$I$2:$I$548, G291)</f>
        <v>1998</v>
      </c>
      <c r="N291" s="3" t="str">
        <f t="shared" si="9"/>
        <v>Standard</v>
      </c>
    </row>
    <row r="292" spans="1:14" x14ac:dyDescent="0.3">
      <c r="A292" s="3" t="str">
        <f>ledger!A292</f>
        <v>TXN100290</v>
      </c>
      <c r="B292" s="3">
        <f>ledger!C292</f>
        <v>12</v>
      </c>
      <c r="C292" s="4" t="str">
        <f>IFERROR(VLOOKUP(B292, merchants!$A$2:$D$41, 2, FALSE), "Merchant not found")</f>
        <v>Merchant_012</v>
      </c>
      <c r="D292" s="3" t="str">
        <f>IFERROR(VLOOKUP(B292, merchants!$A$2:$D$41, 3, FALSE), "Merchant not found")</f>
        <v>ecommerce</v>
      </c>
      <c r="E292" s="3" t="str">
        <f>IFERROR(VLOOKUP(B292, merchants!$A$2:$D$41, 4, FALSE), "Merchant not found")</f>
        <v>East</v>
      </c>
      <c r="F292" s="4">
        <f>ledger!D292</f>
        <v>46044.613888888889</v>
      </c>
      <c r="G292" s="5">
        <f>ledger!I292</f>
        <v>46044</v>
      </c>
      <c r="H292" s="3">
        <f>ledger!E292</f>
        <v>99</v>
      </c>
      <c r="I292" s="3" t="str">
        <f>ledger!F292</f>
        <v>Wallet</v>
      </c>
      <c r="J292" s="3" t="str">
        <f>ledger!G292</f>
        <v>captured</v>
      </c>
      <c r="K292" s="9">
        <f>HLOOKUP(I292,Fee!$B$1:$E$2,2,FALSE())</f>
        <v>1.4999999999999999E-2</v>
      </c>
      <c r="L292" s="12">
        <f t="shared" si="8"/>
        <v>1.4849999999999999</v>
      </c>
      <c r="M292" s="3">
        <f>SUMIFS(ledger!$E$2:$E$548, ledger!$C$2:$C$548, B292, ledger!$I$2:$I$548, G292)</f>
        <v>99</v>
      </c>
      <c r="N292" s="3" t="str">
        <f t="shared" si="9"/>
        <v>Standard</v>
      </c>
    </row>
    <row r="293" spans="1:14" x14ac:dyDescent="0.3">
      <c r="A293" s="3" t="str">
        <f>ledger!A293</f>
        <v>TXN100291</v>
      </c>
      <c r="B293" s="3">
        <f>ledger!C293</f>
        <v>3</v>
      </c>
      <c r="C293" s="4" t="str">
        <f>IFERROR(VLOOKUP(B293, merchants!$A$2:$D$41, 2, FALSE), "Merchant not found")</f>
        <v>Merchant_003</v>
      </c>
      <c r="D293" s="3" t="str">
        <f>IFERROR(VLOOKUP(B293, merchants!$A$2:$D$41, 3, FALSE), "Merchant not found")</f>
        <v>grocery</v>
      </c>
      <c r="E293" s="3" t="str">
        <f>IFERROR(VLOOKUP(B293, merchants!$A$2:$D$41, 4, FALSE), "Merchant not found")</f>
        <v>East</v>
      </c>
      <c r="F293" s="4">
        <f>ledger!D293</f>
        <v>46025.950694444444</v>
      </c>
      <c r="G293" s="5">
        <f>ledger!I293</f>
        <v>46025</v>
      </c>
      <c r="H293" s="3">
        <f>ledger!E293</f>
        <v>49</v>
      </c>
      <c r="I293" s="3" t="str">
        <f>ledger!F293</f>
        <v>UPI</v>
      </c>
      <c r="J293" s="3" t="str">
        <f>ledger!G293</f>
        <v>captured</v>
      </c>
      <c r="K293" s="9">
        <f>HLOOKUP(I293,Fee!$B$1:$E$2,2,FALSE())</f>
        <v>5.0000000000000001E-3</v>
      </c>
      <c r="L293" s="12">
        <f t="shared" si="8"/>
        <v>0.245</v>
      </c>
      <c r="M293" s="3">
        <f>SUMIFS(ledger!$E$2:$E$548, ledger!$C$2:$C$548, B293, ledger!$I$2:$I$548, G293)</f>
        <v>198</v>
      </c>
      <c r="N293" s="3" t="str">
        <f t="shared" si="9"/>
        <v>Standard</v>
      </c>
    </row>
    <row r="294" spans="1:14" x14ac:dyDescent="0.3">
      <c r="A294" s="3" t="str">
        <f>ledger!A294</f>
        <v>TXN100292</v>
      </c>
      <c r="B294" s="3">
        <f>ledger!C294</f>
        <v>3</v>
      </c>
      <c r="C294" s="4" t="str">
        <f>IFERROR(VLOOKUP(B294, merchants!$A$2:$D$41, 2, FALSE), "Merchant not found")</f>
        <v>Merchant_003</v>
      </c>
      <c r="D294" s="3" t="str">
        <f>IFERROR(VLOOKUP(B294, merchants!$A$2:$D$41, 3, FALSE), "Merchant not found")</f>
        <v>grocery</v>
      </c>
      <c r="E294" s="3" t="str">
        <f>IFERROR(VLOOKUP(B294, merchants!$A$2:$D$41, 4, FALSE), "Merchant not found")</f>
        <v>East</v>
      </c>
      <c r="F294" s="4">
        <f>ledger!D294</f>
        <v>46029.076388888891</v>
      </c>
      <c r="G294" s="5">
        <f>ledger!I294</f>
        <v>46029</v>
      </c>
      <c r="H294" s="3">
        <f>ledger!E294</f>
        <v>499</v>
      </c>
      <c r="I294" s="3" t="str">
        <f>ledger!F294</f>
        <v>UPI</v>
      </c>
      <c r="J294" s="3" t="str">
        <f>ledger!G294</f>
        <v>captured</v>
      </c>
      <c r="K294" s="9">
        <f>HLOOKUP(I294,Fee!$B$1:$E$2,2,FALSE())</f>
        <v>5.0000000000000001E-3</v>
      </c>
      <c r="L294" s="12">
        <f t="shared" si="8"/>
        <v>2.4950000000000001</v>
      </c>
      <c r="M294" s="3">
        <f>SUMIFS(ledger!$E$2:$E$548, ledger!$C$2:$C$548, B294, ledger!$I$2:$I$548, G294)</f>
        <v>798</v>
      </c>
      <c r="N294" s="3" t="str">
        <f t="shared" si="9"/>
        <v>Standard</v>
      </c>
    </row>
    <row r="295" spans="1:14" x14ac:dyDescent="0.3">
      <c r="A295" s="3" t="str">
        <f>ledger!A295</f>
        <v>TXN100293</v>
      </c>
      <c r="B295" s="3">
        <f>ledger!C295</f>
        <v>35</v>
      </c>
      <c r="C295" s="4" t="str">
        <f>IFERROR(VLOOKUP(B295, merchants!$A$2:$D$41, 2, FALSE), "Merchant not found")</f>
        <v>Merchant_035</v>
      </c>
      <c r="D295" s="3" t="str">
        <f>IFERROR(VLOOKUP(B295, merchants!$A$2:$D$41, 3, FALSE), "Merchant not found")</f>
        <v>recharge</v>
      </c>
      <c r="E295" s="3" t="str">
        <f>IFERROR(VLOOKUP(B295, merchants!$A$2:$D$41, 4, FALSE), "Merchant not found")</f>
        <v>East</v>
      </c>
      <c r="F295" s="4">
        <f>ledger!D295</f>
        <v>46052.397222222222</v>
      </c>
      <c r="G295" s="5">
        <f>ledger!I295</f>
        <v>46052</v>
      </c>
      <c r="H295" s="3">
        <f>ledger!E295</f>
        <v>99</v>
      </c>
      <c r="I295" s="3" t="str">
        <f>ledger!F295</f>
        <v>Wallet</v>
      </c>
      <c r="J295" s="3" t="str">
        <f>ledger!G295</f>
        <v>captured</v>
      </c>
      <c r="K295" s="9">
        <f>HLOOKUP(I295,Fee!$B$1:$E$2,2,FALSE())</f>
        <v>1.4999999999999999E-2</v>
      </c>
      <c r="L295" s="12">
        <f t="shared" si="8"/>
        <v>1.4849999999999999</v>
      </c>
      <c r="M295" s="3">
        <f>SUMIFS(ledger!$E$2:$E$548, ledger!$C$2:$C$548, B295, ledger!$I$2:$I$548, G295)</f>
        <v>99</v>
      </c>
      <c r="N295" s="3" t="str">
        <f t="shared" si="9"/>
        <v>Standard</v>
      </c>
    </row>
    <row r="296" spans="1:14" x14ac:dyDescent="0.3">
      <c r="A296" s="3" t="str">
        <f>ledger!A296</f>
        <v>TXN100294</v>
      </c>
      <c r="B296" s="3">
        <f>ledger!C296</f>
        <v>13</v>
      </c>
      <c r="C296" s="4" t="str">
        <f>IFERROR(VLOOKUP(B296, merchants!$A$2:$D$41, 2, FALSE), "Merchant not found")</f>
        <v>Merchant_013</v>
      </c>
      <c r="D296" s="3" t="str">
        <f>IFERROR(VLOOKUP(B296, merchants!$A$2:$D$41, 3, FALSE), "Merchant not found")</f>
        <v>travel</v>
      </c>
      <c r="E296" s="3" t="str">
        <f>IFERROR(VLOOKUP(B296, merchants!$A$2:$D$41, 4, FALSE), "Merchant not found")</f>
        <v>East</v>
      </c>
      <c r="F296" s="4">
        <f>ledger!D296</f>
        <v>46031.074999999997</v>
      </c>
      <c r="G296" s="5">
        <f>ledger!I296</f>
        <v>46031</v>
      </c>
      <c r="H296" s="3">
        <f>ledger!E296</f>
        <v>49</v>
      </c>
      <c r="I296" s="3" t="str">
        <f>ledger!F296</f>
        <v>Card</v>
      </c>
      <c r="J296" s="3" t="str">
        <f>ledger!G296</f>
        <v>captured</v>
      </c>
      <c r="K296" s="9">
        <f>HLOOKUP(I296,Fee!$B$1:$E$2,2,FALSE())</f>
        <v>0.02</v>
      </c>
      <c r="L296" s="12">
        <f t="shared" si="8"/>
        <v>0.98</v>
      </c>
      <c r="M296" s="3">
        <f>SUMIFS(ledger!$E$2:$E$548, ledger!$C$2:$C$548, B296, ledger!$I$2:$I$548, G296)</f>
        <v>198</v>
      </c>
      <c r="N296" s="3" t="str">
        <f t="shared" si="9"/>
        <v>Standard</v>
      </c>
    </row>
    <row r="297" spans="1:14" x14ac:dyDescent="0.3">
      <c r="A297" s="3" t="str">
        <f>ledger!A297</f>
        <v>TXN100295</v>
      </c>
      <c r="B297" s="3">
        <f>ledger!C297</f>
        <v>22</v>
      </c>
      <c r="C297" s="4" t="str">
        <f>IFERROR(VLOOKUP(B297, merchants!$A$2:$D$41, 2, FALSE), "Merchant not found")</f>
        <v>Merchant_022</v>
      </c>
      <c r="D297" s="3" t="str">
        <f>IFERROR(VLOOKUP(B297, merchants!$A$2:$D$41, 3, FALSE), "Merchant not found")</f>
        <v>travel</v>
      </c>
      <c r="E297" s="3" t="str">
        <f>IFERROR(VLOOKUP(B297, merchants!$A$2:$D$41, 4, FALSE), "Merchant not found")</f>
        <v>South</v>
      </c>
      <c r="F297" s="4">
        <f>ledger!D297</f>
        <v>46034.079861111109</v>
      </c>
      <c r="G297" s="5">
        <f>ledger!I297</f>
        <v>46034</v>
      </c>
      <c r="H297" s="3">
        <f>ledger!E297</f>
        <v>499</v>
      </c>
      <c r="I297" s="3" t="str">
        <f>ledger!F297</f>
        <v>UPI</v>
      </c>
      <c r="J297" s="3" t="str">
        <f>ledger!G297</f>
        <v>captured</v>
      </c>
      <c r="K297" s="9">
        <f>HLOOKUP(I297,Fee!$B$1:$E$2,2,FALSE())</f>
        <v>5.0000000000000001E-3</v>
      </c>
      <c r="L297" s="12">
        <f t="shared" si="8"/>
        <v>2.4950000000000001</v>
      </c>
      <c r="M297" s="3">
        <f>SUMIFS(ledger!$E$2:$E$548, ledger!$C$2:$C$548, B297, ledger!$I$2:$I$548, G297)</f>
        <v>1697</v>
      </c>
      <c r="N297" s="3" t="str">
        <f t="shared" si="9"/>
        <v>Standard</v>
      </c>
    </row>
    <row r="298" spans="1:14" x14ac:dyDescent="0.3">
      <c r="A298" s="3" t="str">
        <f>ledger!A298</f>
        <v>TXN100296</v>
      </c>
      <c r="B298" s="3">
        <f>ledger!C298</f>
        <v>29</v>
      </c>
      <c r="C298" s="4" t="str">
        <f>IFERROR(VLOOKUP(B298, merchants!$A$2:$D$41, 2, FALSE), "Merchant not found")</f>
        <v>Merchant_029</v>
      </c>
      <c r="D298" s="3" t="str">
        <f>IFERROR(VLOOKUP(B298, merchants!$A$2:$D$41, 3, FALSE), "Merchant not found")</f>
        <v>ecommerce</v>
      </c>
      <c r="E298" s="3" t="str">
        <f>IFERROR(VLOOKUP(B298, merchants!$A$2:$D$41, 4, FALSE), "Merchant not found")</f>
        <v>North</v>
      </c>
      <c r="F298" s="4">
        <f>ledger!D298</f>
        <v>46026.477083333331</v>
      </c>
      <c r="G298" s="5">
        <f>ledger!I298</f>
        <v>46026</v>
      </c>
      <c r="H298" s="3">
        <f>ledger!E298</f>
        <v>99</v>
      </c>
      <c r="I298" s="3" t="str">
        <f>ledger!F298</f>
        <v>Wallet</v>
      </c>
      <c r="J298" s="3" t="str">
        <f>ledger!G298</f>
        <v>captured</v>
      </c>
      <c r="K298" s="9">
        <f>HLOOKUP(I298,Fee!$B$1:$E$2,2,FALSE())</f>
        <v>1.4999999999999999E-2</v>
      </c>
      <c r="L298" s="12">
        <f t="shared" si="8"/>
        <v>1.4849999999999999</v>
      </c>
      <c r="M298" s="3">
        <f>SUMIFS(ledger!$E$2:$E$548, ledger!$C$2:$C$548, B298, ledger!$I$2:$I$548, G298)</f>
        <v>99</v>
      </c>
      <c r="N298" s="3" t="str">
        <f t="shared" si="9"/>
        <v>Standard</v>
      </c>
    </row>
    <row r="299" spans="1:14" x14ac:dyDescent="0.3">
      <c r="A299" s="3" t="str">
        <f>ledger!A299</f>
        <v>TXN100297</v>
      </c>
      <c r="B299" s="3">
        <f>ledger!C299</f>
        <v>24</v>
      </c>
      <c r="C299" s="4" t="str">
        <f>IFERROR(VLOOKUP(B299, merchants!$A$2:$D$41, 2, FALSE), "Merchant not found")</f>
        <v>Merchant_024</v>
      </c>
      <c r="D299" s="3" t="str">
        <f>IFERROR(VLOOKUP(B299, merchants!$A$2:$D$41, 3, FALSE), "Merchant not found")</f>
        <v>grocery</v>
      </c>
      <c r="E299" s="3" t="str">
        <f>IFERROR(VLOOKUP(B299, merchants!$A$2:$D$41, 4, FALSE), "Merchant not found")</f>
        <v>North</v>
      </c>
      <c r="F299" s="4">
        <f>ledger!D299</f>
        <v>46033.229861111111</v>
      </c>
      <c r="G299" s="5">
        <f>ledger!I299</f>
        <v>46033</v>
      </c>
      <c r="H299" s="3">
        <f>ledger!E299</f>
        <v>799</v>
      </c>
      <c r="I299" s="3" t="str">
        <f>ledger!F299</f>
        <v>UPI</v>
      </c>
      <c r="J299" s="3" t="str">
        <f>ledger!G299</f>
        <v>captured</v>
      </c>
      <c r="K299" s="9">
        <f>HLOOKUP(I299,Fee!$B$1:$E$2,2,FALSE())</f>
        <v>5.0000000000000001E-3</v>
      </c>
      <c r="L299" s="12">
        <f t="shared" si="8"/>
        <v>3.9950000000000001</v>
      </c>
      <c r="M299" s="3">
        <f>SUMIFS(ledger!$E$2:$E$548, ledger!$C$2:$C$548, B299, ledger!$I$2:$I$548, G299)</f>
        <v>799</v>
      </c>
      <c r="N299" s="3" t="str">
        <f t="shared" si="9"/>
        <v>Standard</v>
      </c>
    </row>
    <row r="300" spans="1:14" x14ac:dyDescent="0.3">
      <c r="A300" s="3" t="str">
        <f>ledger!A300</f>
        <v>TXN100298</v>
      </c>
      <c r="B300" s="3">
        <f>ledger!C300</f>
        <v>6</v>
      </c>
      <c r="C300" s="4" t="str">
        <f>IFERROR(VLOOKUP(B300, merchants!$A$2:$D$41, 2, FALSE), "Merchant not found")</f>
        <v>Merchant_006</v>
      </c>
      <c r="D300" s="3" t="str">
        <f>IFERROR(VLOOKUP(B300, merchants!$A$2:$D$41, 3, FALSE), "Merchant not found")</f>
        <v>food_delivery</v>
      </c>
      <c r="E300" s="3" t="str">
        <f>IFERROR(VLOOKUP(B300, merchants!$A$2:$D$41, 4, FALSE), "Merchant not found")</f>
        <v>South</v>
      </c>
      <c r="F300" s="4">
        <f>ledger!D300</f>
        <v>46031.115277777775</v>
      </c>
      <c r="G300" s="5">
        <f>ledger!I300</f>
        <v>46031</v>
      </c>
      <c r="H300" s="3">
        <f>ledger!E300</f>
        <v>99</v>
      </c>
      <c r="I300" s="3" t="str">
        <f>ledger!F300</f>
        <v>UPI</v>
      </c>
      <c r="J300" s="3" t="str">
        <f>ledger!G300</f>
        <v>captured</v>
      </c>
      <c r="K300" s="9">
        <f>HLOOKUP(I300,Fee!$B$1:$E$2,2,FALSE())</f>
        <v>5.0000000000000001E-3</v>
      </c>
      <c r="L300" s="12">
        <f t="shared" si="8"/>
        <v>0.495</v>
      </c>
      <c r="M300" s="3">
        <f>SUMIFS(ledger!$E$2:$E$548, ledger!$C$2:$C$548, B300, ledger!$I$2:$I$548, G300)</f>
        <v>99</v>
      </c>
      <c r="N300" s="3" t="str">
        <f t="shared" si="9"/>
        <v>Standard</v>
      </c>
    </row>
    <row r="301" spans="1:14" x14ac:dyDescent="0.3">
      <c r="A301" s="3" t="str">
        <f>ledger!A301</f>
        <v>TXN100299</v>
      </c>
      <c r="B301" s="3">
        <f>ledger!C301</f>
        <v>21</v>
      </c>
      <c r="C301" s="4" t="str">
        <f>IFERROR(VLOOKUP(B301, merchants!$A$2:$D$41, 2, FALSE), "Merchant not found")</f>
        <v>Merchant_021</v>
      </c>
      <c r="D301" s="3" t="str">
        <f>IFERROR(VLOOKUP(B301, merchants!$A$2:$D$41, 3, FALSE), "Merchant not found")</f>
        <v>food_delivery</v>
      </c>
      <c r="E301" s="3" t="str">
        <f>IFERROR(VLOOKUP(B301, merchants!$A$2:$D$41, 4, FALSE), "Merchant not found")</f>
        <v>East</v>
      </c>
      <c r="F301" s="4">
        <f>ledger!D301</f>
        <v>46042.231944444444</v>
      </c>
      <c r="G301" s="5">
        <f>ledger!I301</f>
        <v>46042</v>
      </c>
      <c r="H301" s="3">
        <f>ledger!E301</f>
        <v>49</v>
      </c>
      <c r="I301" s="3" t="str">
        <f>ledger!F301</f>
        <v>UPI</v>
      </c>
      <c r="J301" s="3" t="str">
        <f>ledger!G301</f>
        <v>captured</v>
      </c>
      <c r="K301" s="9">
        <f>HLOOKUP(I301,Fee!$B$1:$E$2,2,FALSE())</f>
        <v>5.0000000000000001E-3</v>
      </c>
      <c r="L301" s="12">
        <f t="shared" si="8"/>
        <v>0.245</v>
      </c>
      <c r="M301" s="3">
        <f>SUMIFS(ledger!$E$2:$E$548, ledger!$C$2:$C$548, B301, ledger!$I$2:$I$548, G301)</f>
        <v>49</v>
      </c>
      <c r="N301" s="3" t="str">
        <f t="shared" si="9"/>
        <v>Standard</v>
      </c>
    </row>
    <row r="302" spans="1:14" x14ac:dyDescent="0.3">
      <c r="A302" s="3" t="str">
        <f>ledger!A302</f>
        <v>TXN100300</v>
      </c>
      <c r="B302" s="3">
        <f>ledger!C302</f>
        <v>20</v>
      </c>
      <c r="C302" s="4" t="str">
        <f>IFERROR(VLOOKUP(B302, merchants!$A$2:$D$41, 2, FALSE), "Merchant not found")</f>
        <v>Merchant_020</v>
      </c>
      <c r="D302" s="3" t="str">
        <f>IFERROR(VLOOKUP(B302, merchants!$A$2:$D$41, 3, FALSE), "Merchant not found")</f>
        <v>food_delivery</v>
      </c>
      <c r="E302" s="3" t="str">
        <f>IFERROR(VLOOKUP(B302, merchants!$A$2:$D$41, 4, FALSE), "Merchant not found")</f>
        <v>East</v>
      </c>
      <c r="F302" s="4">
        <f>ledger!D302</f>
        <v>46025.445833333331</v>
      </c>
      <c r="G302" s="5">
        <f>ledger!I302</f>
        <v>46025</v>
      </c>
      <c r="H302" s="3">
        <f>ledger!E302</f>
        <v>49</v>
      </c>
      <c r="I302" s="3" t="str">
        <f>ledger!F302</f>
        <v>UPI</v>
      </c>
      <c r="J302" s="3" t="str">
        <f>ledger!G302</f>
        <v>captured</v>
      </c>
      <c r="K302" s="9">
        <f>HLOOKUP(I302,Fee!$B$1:$E$2,2,FALSE())</f>
        <v>5.0000000000000001E-3</v>
      </c>
      <c r="L302" s="12">
        <f t="shared" si="8"/>
        <v>0.245</v>
      </c>
      <c r="M302" s="3">
        <f>SUMIFS(ledger!$E$2:$E$548, ledger!$C$2:$C$548, B302, ledger!$I$2:$I$548, G302)</f>
        <v>348</v>
      </c>
      <c r="N302" s="3" t="str">
        <f t="shared" si="9"/>
        <v>Standard</v>
      </c>
    </row>
    <row r="303" spans="1:14" x14ac:dyDescent="0.3">
      <c r="A303" s="3" t="str">
        <f>ledger!A303</f>
        <v>TXN100301</v>
      </c>
      <c r="B303" s="3">
        <f>ledger!C303</f>
        <v>29</v>
      </c>
      <c r="C303" s="4" t="str">
        <f>IFERROR(VLOOKUP(B303, merchants!$A$2:$D$41, 2, FALSE), "Merchant not found")</f>
        <v>Merchant_029</v>
      </c>
      <c r="D303" s="3" t="str">
        <f>IFERROR(VLOOKUP(B303, merchants!$A$2:$D$41, 3, FALSE), "Merchant not found")</f>
        <v>ecommerce</v>
      </c>
      <c r="E303" s="3" t="str">
        <f>IFERROR(VLOOKUP(B303, merchants!$A$2:$D$41, 4, FALSE), "Merchant not found")</f>
        <v>North</v>
      </c>
      <c r="F303" s="4">
        <f>ledger!D303</f>
        <v>46042.935416666667</v>
      </c>
      <c r="G303" s="5">
        <f>ledger!I303</f>
        <v>46042</v>
      </c>
      <c r="H303" s="3">
        <f>ledger!E303</f>
        <v>149</v>
      </c>
      <c r="I303" s="3" t="str">
        <f>ledger!F303</f>
        <v>Card</v>
      </c>
      <c r="J303" s="3" t="str">
        <f>ledger!G303</f>
        <v>captured</v>
      </c>
      <c r="K303" s="9">
        <f>HLOOKUP(I303,Fee!$B$1:$E$2,2,FALSE())</f>
        <v>0.02</v>
      </c>
      <c r="L303" s="12">
        <f t="shared" si="8"/>
        <v>2.98</v>
      </c>
      <c r="M303" s="3">
        <f>SUMIFS(ledger!$E$2:$E$548, ledger!$C$2:$C$548, B303, ledger!$I$2:$I$548, G303)</f>
        <v>149</v>
      </c>
      <c r="N303" s="3" t="str">
        <f t="shared" si="9"/>
        <v>Standard</v>
      </c>
    </row>
    <row r="304" spans="1:14" x14ac:dyDescent="0.3">
      <c r="A304" s="3" t="str">
        <f>ledger!A304</f>
        <v>TXN100302</v>
      </c>
      <c r="B304" s="3">
        <f>ledger!C304</f>
        <v>40</v>
      </c>
      <c r="C304" s="4" t="str">
        <f>IFERROR(VLOOKUP(B304, merchants!$A$2:$D$41, 2, FALSE), "Merchant not found")</f>
        <v>Merchant_040</v>
      </c>
      <c r="D304" s="3" t="str">
        <f>IFERROR(VLOOKUP(B304, merchants!$A$2:$D$41, 3, FALSE), "Merchant not found")</f>
        <v>entertainment</v>
      </c>
      <c r="E304" s="3" t="str">
        <f>IFERROR(VLOOKUP(B304, merchants!$A$2:$D$41, 4, FALSE), "Merchant not found")</f>
        <v>South</v>
      </c>
      <c r="F304" s="4">
        <f>ledger!D304</f>
        <v>46037.073611111111</v>
      </c>
      <c r="G304" s="5">
        <f>ledger!I304</f>
        <v>46037</v>
      </c>
      <c r="H304" s="3">
        <f>ledger!E304</f>
        <v>149</v>
      </c>
      <c r="I304" s="3" t="str">
        <f>ledger!F304</f>
        <v>UPI</v>
      </c>
      <c r="J304" s="3" t="str">
        <f>ledger!G304</f>
        <v>captured</v>
      </c>
      <c r="K304" s="9">
        <f>HLOOKUP(I304,Fee!$B$1:$E$2,2,FALSE())</f>
        <v>5.0000000000000001E-3</v>
      </c>
      <c r="L304" s="12">
        <f t="shared" si="8"/>
        <v>0.745</v>
      </c>
      <c r="M304" s="3">
        <f>SUMIFS(ledger!$E$2:$E$548, ledger!$C$2:$C$548, B304, ledger!$I$2:$I$548, G304)</f>
        <v>149</v>
      </c>
      <c r="N304" s="3" t="str">
        <f t="shared" si="9"/>
        <v>Standard</v>
      </c>
    </row>
    <row r="305" spans="1:14" x14ac:dyDescent="0.3">
      <c r="A305" s="3" t="str">
        <f>ledger!A305</f>
        <v>TXN100303</v>
      </c>
      <c r="B305" s="3">
        <f>ledger!C305</f>
        <v>5</v>
      </c>
      <c r="C305" s="4" t="str">
        <f>IFERROR(VLOOKUP(B305, merchants!$A$2:$D$41, 2, FALSE), "Merchant not found")</f>
        <v>Merchant_005</v>
      </c>
      <c r="D305" s="3" t="str">
        <f>IFERROR(VLOOKUP(B305, merchants!$A$2:$D$41, 3, FALSE), "Merchant not found")</f>
        <v>recharge</v>
      </c>
      <c r="E305" s="3" t="str">
        <f>IFERROR(VLOOKUP(B305, merchants!$A$2:$D$41, 4, FALSE), "Merchant not found")</f>
        <v>South</v>
      </c>
      <c r="F305" s="4">
        <f>ledger!D305</f>
        <v>46031.868055555555</v>
      </c>
      <c r="G305" s="5">
        <f>ledger!I305</f>
        <v>46031</v>
      </c>
      <c r="H305" s="3">
        <f>ledger!E305</f>
        <v>299</v>
      </c>
      <c r="I305" s="3" t="str">
        <f>ledger!F305</f>
        <v>UPI</v>
      </c>
      <c r="J305" s="3" t="str">
        <f>ledger!G305</f>
        <v>captured</v>
      </c>
      <c r="K305" s="9">
        <f>HLOOKUP(I305,Fee!$B$1:$E$2,2,FALSE())</f>
        <v>5.0000000000000001E-3</v>
      </c>
      <c r="L305" s="12">
        <f t="shared" si="8"/>
        <v>1.4950000000000001</v>
      </c>
      <c r="M305" s="3">
        <f>SUMIFS(ledger!$E$2:$E$548, ledger!$C$2:$C$548, B305, ledger!$I$2:$I$548, G305)</f>
        <v>348</v>
      </c>
      <c r="N305" s="3" t="str">
        <f t="shared" si="9"/>
        <v>Standard</v>
      </c>
    </row>
    <row r="306" spans="1:14" x14ac:dyDescent="0.3">
      <c r="A306" s="3" t="str">
        <f>ledger!A306</f>
        <v>TXN100304</v>
      </c>
      <c r="B306" s="3">
        <f>ledger!C306</f>
        <v>11</v>
      </c>
      <c r="C306" s="4" t="str">
        <f>IFERROR(VLOOKUP(B306, merchants!$A$2:$D$41, 2, FALSE), "Merchant not found")</f>
        <v>Merchant_011</v>
      </c>
      <c r="D306" s="3" t="str">
        <f>IFERROR(VLOOKUP(B306, merchants!$A$2:$D$41, 3, FALSE), "Merchant not found")</f>
        <v>ecommerce</v>
      </c>
      <c r="E306" s="3" t="str">
        <f>IFERROR(VLOOKUP(B306, merchants!$A$2:$D$41, 4, FALSE), "Merchant not found")</f>
        <v>North</v>
      </c>
      <c r="F306" s="4">
        <f>ledger!D306</f>
        <v>46043.515972222223</v>
      </c>
      <c r="G306" s="5">
        <f>ledger!I306</f>
        <v>46043</v>
      </c>
      <c r="H306" s="3">
        <f>ledger!E306</f>
        <v>149</v>
      </c>
      <c r="I306" s="3" t="str">
        <f>ledger!F306</f>
        <v>Wallet</v>
      </c>
      <c r="J306" s="3" t="str">
        <f>ledger!G306</f>
        <v>captured</v>
      </c>
      <c r="K306" s="9">
        <f>HLOOKUP(I306,Fee!$B$1:$E$2,2,FALSE())</f>
        <v>1.4999999999999999E-2</v>
      </c>
      <c r="L306" s="12">
        <f t="shared" si="8"/>
        <v>2.2349999999999999</v>
      </c>
      <c r="M306" s="3">
        <f>SUMIFS(ledger!$E$2:$E$548, ledger!$C$2:$C$548, B306, ledger!$I$2:$I$548, G306)</f>
        <v>149</v>
      </c>
      <c r="N306" s="3" t="str">
        <f t="shared" si="9"/>
        <v>Standard</v>
      </c>
    </row>
    <row r="307" spans="1:14" x14ac:dyDescent="0.3">
      <c r="A307" s="3" t="str">
        <f>ledger!A307</f>
        <v>TXN100305</v>
      </c>
      <c r="B307" s="3">
        <f>ledger!C307</f>
        <v>3</v>
      </c>
      <c r="C307" s="4" t="str">
        <f>IFERROR(VLOOKUP(B307, merchants!$A$2:$D$41, 2, FALSE), "Merchant not found")</f>
        <v>Merchant_003</v>
      </c>
      <c r="D307" s="3" t="str">
        <f>IFERROR(VLOOKUP(B307, merchants!$A$2:$D$41, 3, FALSE), "Merchant not found")</f>
        <v>grocery</v>
      </c>
      <c r="E307" s="3" t="str">
        <f>IFERROR(VLOOKUP(B307, merchants!$A$2:$D$41, 4, FALSE), "Merchant not found")</f>
        <v>East</v>
      </c>
      <c r="F307" s="4">
        <f>ledger!D307</f>
        <v>46027.821527777778</v>
      </c>
      <c r="G307" s="5">
        <f>ledger!I307</f>
        <v>46027</v>
      </c>
      <c r="H307" s="3">
        <f>ledger!E307</f>
        <v>99</v>
      </c>
      <c r="I307" s="3" t="str">
        <f>ledger!F307</f>
        <v>Netbanking</v>
      </c>
      <c r="J307" s="3" t="str">
        <f>ledger!G307</f>
        <v>captured</v>
      </c>
      <c r="K307" s="9">
        <f>HLOOKUP(I307,Fee!$B$1:$E$2,2,FALSE())</f>
        <v>1.7999999999999999E-2</v>
      </c>
      <c r="L307" s="12">
        <f t="shared" si="8"/>
        <v>1.7819999999999998</v>
      </c>
      <c r="M307" s="3">
        <f>SUMIFS(ledger!$E$2:$E$548, ledger!$C$2:$C$548, B307, ledger!$I$2:$I$548, G307)</f>
        <v>99</v>
      </c>
      <c r="N307" s="3" t="str">
        <f t="shared" si="9"/>
        <v>Standard</v>
      </c>
    </row>
    <row r="308" spans="1:14" x14ac:dyDescent="0.3">
      <c r="A308" s="3" t="str">
        <f>ledger!A308</f>
        <v>TXN100306</v>
      </c>
      <c r="B308" s="3">
        <f>ledger!C308</f>
        <v>24</v>
      </c>
      <c r="C308" s="4" t="str">
        <f>IFERROR(VLOOKUP(B308, merchants!$A$2:$D$41, 2, FALSE), "Merchant not found")</f>
        <v>Merchant_024</v>
      </c>
      <c r="D308" s="3" t="str">
        <f>IFERROR(VLOOKUP(B308, merchants!$A$2:$D$41, 3, FALSE), "Merchant not found")</f>
        <v>grocery</v>
      </c>
      <c r="E308" s="3" t="str">
        <f>IFERROR(VLOOKUP(B308, merchants!$A$2:$D$41, 4, FALSE), "Merchant not found")</f>
        <v>North</v>
      </c>
      <c r="F308" s="4">
        <f>ledger!D308</f>
        <v>46025.325694444444</v>
      </c>
      <c r="G308" s="5">
        <f>ledger!I308</f>
        <v>46025</v>
      </c>
      <c r="H308" s="3">
        <f>ledger!E308</f>
        <v>49</v>
      </c>
      <c r="I308" s="3" t="str">
        <f>ledger!F308</f>
        <v>Card</v>
      </c>
      <c r="J308" s="3" t="str">
        <f>ledger!G308</f>
        <v>captured</v>
      </c>
      <c r="K308" s="9">
        <f>HLOOKUP(I308,Fee!$B$1:$E$2,2,FALSE())</f>
        <v>0.02</v>
      </c>
      <c r="L308" s="12">
        <f t="shared" si="8"/>
        <v>0.98</v>
      </c>
      <c r="M308" s="3">
        <f>SUMIFS(ledger!$E$2:$E$548, ledger!$C$2:$C$548, B308, ledger!$I$2:$I$548, G308)</f>
        <v>49</v>
      </c>
      <c r="N308" s="3" t="str">
        <f t="shared" si="9"/>
        <v>Standard</v>
      </c>
    </row>
    <row r="309" spans="1:14" x14ac:dyDescent="0.3">
      <c r="A309" s="3" t="str">
        <f>ledger!A309</f>
        <v>TXN100307</v>
      </c>
      <c r="B309" s="3">
        <f>ledger!C309</f>
        <v>10</v>
      </c>
      <c r="C309" s="4" t="str">
        <f>IFERROR(VLOOKUP(B309, merchants!$A$2:$D$41, 2, FALSE), "Merchant not found")</f>
        <v>Merchant_010</v>
      </c>
      <c r="D309" s="3" t="str">
        <f>IFERROR(VLOOKUP(B309, merchants!$A$2:$D$41, 3, FALSE), "Merchant not found")</f>
        <v>grocery</v>
      </c>
      <c r="E309" s="3" t="str">
        <f>IFERROR(VLOOKUP(B309, merchants!$A$2:$D$41, 4, FALSE), "Merchant not found")</f>
        <v>West</v>
      </c>
      <c r="F309" s="4">
        <f>ledger!D309</f>
        <v>46035.751388888886</v>
      </c>
      <c r="G309" s="5">
        <f>ledger!I309</f>
        <v>46035</v>
      </c>
      <c r="H309" s="3">
        <f>ledger!E309</f>
        <v>1499</v>
      </c>
      <c r="I309" s="3" t="str">
        <f>ledger!F309</f>
        <v>Card</v>
      </c>
      <c r="J309" s="3" t="str">
        <f>ledger!G309</f>
        <v>captured</v>
      </c>
      <c r="K309" s="9">
        <f>HLOOKUP(I309,Fee!$B$1:$E$2,2,FALSE())</f>
        <v>0.02</v>
      </c>
      <c r="L309" s="12">
        <f t="shared" si="8"/>
        <v>29.98</v>
      </c>
      <c r="M309" s="3">
        <f>SUMIFS(ledger!$E$2:$E$548, ledger!$C$2:$C$548, B309, ledger!$I$2:$I$548, G309)</f>
        <v>1499</v>
      </c>
      <c r="N309" s="3" t="str">
        <f t="shared" si="9"/>
        <v>Standard</v>
      </c>
    </row>
    <row r="310" spans="1:14" x14ac:dyDescent="0.3">
      <c r="A310" s="3" t="str">
        <f>ledger!A310</f>
        <v>TXN100308</v>
      </c>
      <c r="B310" s="3">
        <f>ledger!C310</f>
        <v>5</v>
      </c>
      <c r="C310" s="4" t="str">
        <f>IFERROR(VLOOKUP(B310, merchants!$A$2:$D$41, 2, FALSE), "Merchant not found")</f>
        <v>Merchant_005</v>
      </c>
      <c r="D310" s="3" t="str">
        <f>IFERROR(VLOOKUP(B310, merchants!$A$2:$D$41, 3, FALSE), "Merchant not found")</f>
        <v>recharge</v>
      </c>
      <c r="E310" s="3" t="str">
        <f>IFERROR(VLOOKUP(B310, merchants!$A$2:$D$41, 4, FALSE), "Merchant not found")</f>
        <v>South</v>
      </c>
      <c r="F310" s="4">
        <f>ledger!D310</f>
        <v>46037.474305555559</v>
      </c>
      <c r="G310" s="5">
        <f>ledger!I310</f>
        <v>46037</v>
      </c>
      <c r="H310" s="3">
        <f>ledger!E310</f>
        <v>49</v>
      </c>
      <c r="I310" s="3" t="str">
        <f>ledger!F310</f>
        <v>UPI</v>
      </c>
      <c r="J310" s="3" t="str">
        <f>ledger!G310</f>
        <v>captured</v>
      </c>
      <c r="K310" s="9">
        <f>HLOOKUP(I310,Fee!$B$1:$E$2,2,FALSE())</f>
        <v>5.0000000000000001E-3</v>
      </c>
      <c r="L310" s="12">
        <f t="shared" si="8"/>
        <v>0.245</v>
      </c>
      <c r="M310" s="3">
        <f>SUMIFS(ledger!$E$2:$E$548, ledger!$C$2:$C$548, B310, ledger!$I$2:$I$548, G310)</f>
        <v>548</v>
      </c>
      <c r="N310" s="3" t="str">
        <f t="shared" si="9"/>
        <v>Standard</v>
      </c>
    </row>
    <row r="311" spans="1:14" x14ac:dyDescent="0.3">
      <c r="A311" s="3" t="str">
        <f>ledger!A311</f>
        <v>TXN100309</v>
      </c>
      <c r="B311" s="3">
        <f>ledger!C311</f>
        <v>21</v>
      </c>
      <c r="C311" s="4" t="str">
        <f>IFERROR(VLOOKUP(B311, merchants!$A$2:$D$41, 2, FALSE), "Merchant not found")</f>
        <v>Merchant_021</v>
      </c>
      <c r="D311" s="3" t="str">
        <f>IFERROR(VLOOKUP(B311, merchants!$A$2:$D$41, 3, FALSE), "Merchant not found")</f>
        <v>food_delivery</v>
      </c>
      <c r="E311" s="3" t="str">
        <f>IFERROR(VLOOKUP(B311, merchants!$A$2:$D$41, 4, FALSE), "Merchant not found")</f>
        <v>East</v>
      </c>
      <c r="F311" s="4">
        <f>ledger!D311</f>
        <v>46027.682638888888</v>
      </c>
      <c r="G311" s="5">
        <f>ledger!I311</f>
        <v>46027</v>
      </c>
      <c r="H311" s="3">
        <f>ledger!E311</f>
        <v>499</v>
      </c>
      <c r="I311" s="3" t="str">
        <f>ledger!F311</f>
        <v>UPI</v>
      </c>
      <c r="J311" s="3" t="str">
        <f>ledger!G311</f>
        <v>captured</v>
      </c>
      <c r="K311" s="9">
        <f>HLOOKUP(I311,Fee!$B$1:$E$2,2,FALSE())</f>
        <v>5.0000000000000001E-3</v>
      </c>
      <c r="L311" s="12">
        <f t="shared" si="8"/>
        <v>2.4950000000000001</v>
      </c>
      <c r="M311" s="3">
        <f>SUMIFS(ledger!$E$2:$E$548, ledger!$C$2:$C$548, B311, ledger!$I$2:$I$548, G311)</f>
        <v>499</v>
      </c>
      <c r="N311" s="3" t="str">
        <f t="shared" si="9"/>
        <v>Standard</v>
      </c>
    </row>
    <row r="312" spans="1:14" x14ac:dyDescent="0.3">
      <c r="A312" s="3" t="str">
        <f>ledger!A312</f>
        <v>TXN100310</v>
      </c>
      <c r="B312" s="3">
        <f>ledger!C312</f>
        <v>12</v>
      </c>
      <c r="C312" s="4" t="str">
        <f>IFERROR(VLOOKUP(B312, merchants!$A$2:$D$41, 2, FALSE), "Merchant not found")</f>
        <v>Merchant_012</v>
      </c>
      <c r="D312" s="3" t="str">
        <f>IFERROR(VLOOKUP(B312, merchants!$A$2:$D$41, 3, FALSE), "Merchant not found")</f>
        <v>ecommerce</v>
      </c>
      <c r="E312" s="3" t="str">
        <f>IFERROR(VLOOKUP(B312, merchants!$A$2:$D$41, 4, FALSE), "Merchant not found")</f>
        <v>East</v>
      </c>
      <c r="F312" s="4">
        <f>ledger!D312</f>
        <v>46031.296527777777</v>
      </c>
      <c r="G312" s="5">
        <f>ledger!I312</f>
        <v>46031</v>
      </c>
      <c r="H312" s="3">
        <f>ledger!E312</f>
        <v>799</v>
      </c>
      <c r="I312" s="3" t="str">
        <f>ledger!F312</f>
        <v>Netbanking</v>
      </c>
      <c r="J312" s="3" t="str">
        <f>ledger!G312</f>
        <v>captured</v>
      </c>
      <c r="K312" s="9">
        <f>HLOOKUP(I312,Fee!$B$1:$E$2,2,FALSE())</f>
        <v>1.7999999999999999E-2</v>
      </c>
      <c r="L312" s="12">
        <f t="shared" si="8"/>
        <v>14.382</v>
      </c>
      <c r="M312" s="3">
        <f>SUMIFS(ledger!$E$2:$E$548, ledger!$C$2:$C$548, B312, ledger!$I$2:$I$548, G312)</f>
        <v>799</v>
      </c>
      <c r="N312" s="3" t="str">
        <f t="shared" si="9"/>
        <v>Standard</v>
      </c>
    </row>
    <row r="313" spans="1:14" x14ac:dyDescent="0.3">
      <c r="A313" s="3" t="str">
        <f>ledger!A313</f>
        <v>TXN100311</v>
      </c>
      <c r="B313" s="3">
        <f>ledger!C313</f>
        <v>8</v>
      </c>
      <c r="C313" s="4" t="str">
        <f>IFERROR(VLOOKUP(B313, merchants!$A$2:$D$41, 2, FALSE), "Merchant not found")</f>
        <v>Merchant_008</v>
      </c>
      <c r="D313" s="3" t="str">
        <f>IFERROR(VLOOKUP(B313, merchants!$A$2:$D$41, 3, FALSE), "Merchant not found")</f>
        <v>food_delivery</v>
      </c>
      <c r="E313" s="3" t="str">
        <f>IFERROR(VLOOKUP(B313, merchants!$A$2:$D$41, 4, FALSE), "Merchant not found")</f>
        <v>North</v>
      </c>
      <c r="F313" s="4">
        <f>ledger!D313</f>
        <v>46039.540277777778</v>
      </c>
      <c r="G313" s="5">
        <f>ledger!I313</f>
        <v>46039</v>
      </c>
      <c r="H313" s="3">
        <f>ledger!E313</f>
        <v>49</v>
      </c>
      <c r="I313" s="3" t="str">
        <f>ledger!F313</f>
        <v>UPI</v>
      </c>
      <c r="J313" s="3" t="str">
        <f>ledger!G313</f>
        <v>captured</v>
      </c>
      <c r="K313" s="9">
        <f>HLOOKUP(I313,Fee!$B$1:$E$2,2,FALSE())</f>
        <v>5.0000000000000001E-3</v>
      </c>
      <c r="L313" s="12">
        <f t="shared" si="8"/>
        <v>0.245</v>
      </c>
      <c r="M313" s="3">
        <f>SUMIFS(ledger!$E$2:$E$548, ledger!$C$2:$C$548, B313, ledger!$I$2:$I$548, G313)</f>
        <v>348</v>
      </c>
      <c r="N313" s="3" t="str">
        <f t="shared" si="9"/>
        <v>Standard</v>
      </c>
    </row>
    <row r="314" spans="1:14" x14ac:dyDescent="0.3">
      <c r="A314" s="3" t="str">
        <f>ledger!A314</f>
        <v>TXN100312</v>
      </c>
      <c r="B314" s="3">
        <f>ledger!C314</f>
        <v>14</v>
      </c>
      <c r="C314" s="4" t="str">
        <f>IFERROR(VLOOKUP(B314, merchants!$A$2:$D$41, 2, FALSE), "Merchant not found")</f>
        <v>Merchant_014</v>
      </c>
      <c r="D314" s="3" t="str">
        <f>IFERROR(VLOOKUP(B314, merchants!$A$2:$D$41, 3, FALSE), "Merchant not found")</f>
        <v>grocery</v>
      </c>
      <c r="E314" s="3" t="str">
        <f>IFERROR(VLOOKUP(B314, merchants!$A$2:$D$41, 4, FALSE), "Merchant not found")</f>
        <v>East</v>
      </c>
      <c r="F314" s="4">
        <f>ledger!D314</f>
        <v>46047.364583333336</v>
      </c>
      <c r="G314" s="5">
        <f>ledger!I314</f>
        <v>46047</v>
      </c>
      <c r="H314" s="3">
        <f>ledger!E314</f>
        <v>1499</v>
      </c>
      <c r="I314" s="3" t="str">
        <f>ledger!F314</f>
        <v>UPI</v>
      </c>
      <c r="J314" s="3" t="str">
        <f>ledger!G314</f>
        <v>captured</v>
      </c>
      <c r="K314" s="9">
        <f>HLOOKUP(I314,Fee!$B$1:$E$2,2,FALSE())</f>
        <v>5.0000000000000001E-3</v>
      </c>
      <c r="L314" s="12">
        <f t="shared" si="8"/>
        <v>7.4950000000000001</v>
      </c>
      <c r="M314" s="3">
        <f>SUMIFS(ledger!$E$2:$E$548, ledger!$C$2:$C$548, B314, ledger!$I$2:$I$548, G314)</f>
        <v>1598</v>
      </c>
      <c r="N314" s="3" t="str">
        <f t="shared" si="9"/>
        <v>Standard</v>
      </c>
    </row>
    <row r="315" spans="1:14" x14ac:dyDescent="0.3">
      <c r="A315" s="3" t="str">
        <f>ledger!A315</f>
        <v>TXN100313</v>
      </c>
      <c r="B315" s="3">
        <f>ledger!C315</f>
        <v>13</v>
      </c>
      <c r="C315" s="4" t="str">
        <f>IFERROR(VLOOKUP(B315, merchants!$A$2:$D$41, 2, FALSE), "Merchant not found")</f>
        <v>Merchant_013</v>
      </c>
      <c r="D315" s="3" t="str">
        <f>IFERROR(VLOOKUP(B315, merchants!$A$2:$D$41, 3, FALSE), "Merchant not found")</f>
        <v>travel</v>
      </c>
      <c r="E315" s="3" t="str">
        <f>IFERROR(VLOOKUP(B315, merchants!$A$2:$D$41, 4, FALSE), "Merchant not found")</f>
        <v>East</v>
      </c>
      <c r="F315" s="4">
        <f>ledger!D315</f>
        <v>46032.956944444442</v>
      </c>
      <c r="G315" s="5">
        <f>ledger!I315</f>
        <v>46032</v>
      </c>
      <c r="H315" s="3">
        <f>ledger!E315</f>
        <v>99</v>
      </c>
      <c r="I315" s="3" t="str">
        <f>ledger!F315</f>
        <v>Wallet</v>
      </c>
      <c r="J315" s="3" t="str">
        <f>ledger!G315</f>
        <v>captured</v>
      </c>
      <c r="K315" s="9">
        <f>HLOOKUP(I315,Fee!$B$1:$E$2,2,FALSE())</f>
        <v>1.4999999999999999E-2</v>
      </c>
      <c r="L315" s="12">
        <f t="shared" si="8"/>
        <v>1.4849999999999999</v>
      </c>
      <c r="M315" s="3">
        <f>SUMIFS(ledger!$E$2:$E$548, ledger!$C$2:$C$548, B315, ledger!$I$2:$I$548, G315)</f>
        <v>99</v>
      </c>
      <c r="N315" s="3" t="str">
        <f t="shared" si="9"/>
        <v>Standard</v>
      </c>
    </row>
    <row r="316" spans="1:14" x14ac:dyDescent="0.3">
      <c r="A316" s="3" t="str">
        <f>ledger!A316</f>
        <v>TXN100314</v>
      </c>
      <c r="B316" s="3">
        <f>ledger!C316</f>
        <v>29</v>
      </c>
      <c r="C316" s="4" t="str">
        <f>IFERROR(VLOOKUP(B316, merchants!$A$2:$D$41, 2, FALSE), "Merchant not found")</f>
        <v>Merchant_029</v>
      </c>
      <c r="D316" s="3" t="str">
        <f>IFERROR(VLOOKUP(B316, merchants!$A$2:$D$41, 3, FALSE), "Merchant not found")</f>
        <v>ecommerce</v>
      </c>
      <c r="E316" s="3" t="str">
        <f>IFERROR(VLOOKUP(B316, merchants!$A$2:$D$41, 4, FALSE), "Merchant not found")</f>
        <v>North</v>
      </c>
      <c r="F316" s="4">
        <f>ledger!D316</f>
        <v>46027.102777777778</v>
      </c>
      <c r="G316" s="5">
        <f>ledger!I316</f>
        <v>46027</v>
      </c>
      <c r="H316" s="3">
        <f>ledger!E316</f>
        <v>799</v>
      </c>
      <c r="I316" s="3" t="str">
        <f>ledger!F316</f>
        <v>UPI</v>
      </c>
      <c r="J316" s="3" t="str">
        <f>ledger!G316</f>
        <v>captured</v>
      </c>
      <c r="K316" s="9">
        <f>HLOOKUP(I316,Fee!$B$1:$E$2,2,FALSE())</f>
        <v>5.0000000000000001E-3</v>
      </c>
      <c r="L316" s="12">
        <f t="shared" si="8"/>
        <v>3.9950000000000001</v>
      </c>
      <c r="M316" s="3">
        <f>SUMIFS(ledger!$E$2:$E$548, ledger!$C$2:$C$548, B316, ledger!$I$2:$I$548, G316)</f>
        <v>799</v>
      </c>
      <c r="N316" s="3" t="str">
        <f t="shared" si="9"/>
        <v>Standard</v>
      </c>
    </row>
    <row r="317" spans="1:14" x14ac:dyDescent="0.3">
      <c r="A317" s="3" t="str">
        <f>ledger!A317</f>
        <v>TXN100315</v>
      </c>
      <c r="B317" s="3">
        <f>ledger!C317</f>
        <v>23</v>
      </c>
      <c r="C317" s="4" t="str">
        <f>IFERROR(VLOOKUP(B317, merchants!$A$2:$D$41, 2, FALSE), "Merchant not found")</f>
        <v>Merchant_023</v>
      </c>
      <c r="D317" s="3" t="str">
        <f>IFERROR(VLOOKUP(B317, merchants!$A$2:$D$41, 3, FALSE), "Merchant not found")</f>
        <v>travel</v>
      </c>
      <c r="E317" s="3" t="str">
        <f>IFERROR(VLOOKUP(B317, merchants!$A$2:$D$41, 4, FALSE), "Merchant not found")</f>
        <v>North</v>
      </c>
      <c r="F317" s="4">
        <f>ledger!D317</f>
        <v>46048.912499999999</v>
      </c>
      <c r="G317" s="5">
        <f>ledger!I317</f>
        <v>46048</v>
      </c>
      <c r="H317" s="3">
        <f>ledger!E317</f>
        <v>49</v>
      </c>
      <c r="I317" s="3" t="str">
        <f>ledger!F317</f>
        <v>Netbanking</v>
      </c>
      <c r="J317" s="3" t="str">
        <f>ledger!G317</f>
        <v>captured</v>
      </c>
      <c r="K317" s="9">
        <f>HLOOKUP(I317,Fee!$B$1:$E$2,2,FALSE())</f>
        <v>1.7999999999999999E-2</v>
      </c>
      <c r="L317" s="12">
        <f t="shared" si="8"/>
        <v>0.8819999999999999</v>
      </c>
      <c r="M317" s="3">
        <f>SUMIFS(ledger!$E$2:$E$548, ledger!$C$2:$C$548, B317, ledger!$I$2:$I$548, G317)</f>
        <v>49</v>
      </c>
      <c r="N317" s="3" t="str">
        <f t="shared" si="9"/>
        <v>Standard</v>
      </c>
    </row>
    <row r="318" spans="1:14" x14ac:dyDescent="0.3">
      <c r="A318" s="3" t="str">
        <f>ledger!A318</f>
        <v>TXN100316</v>
      </c>
      <c r="B318" s="3">
        <f>ledger!C318</f>
        <v>20</v>
      </c>
      <c r="C318" s="4" t="str">
        <f>IFERROR(VLOOKUP(B318, merchants!$A$2:$D$41, 2, FALSE), "Merchant not found")</f>
        <v>Merchant_020</v>
      </c>
      <c r="D318" s="3" t="str">
        <f>IFERROR(VLOOKUP(B318, merchants!$A$2:$D$41, 3, FALSE), "Merchant not found")</f>
        <v>food_delivery</v>
      </c>
      <c r="E318" s="3" t="str">
        <f>IFERROR(VLOOKUP(B318, merchants!$A$2:$D$41, 4, FALSE), "Merchant not found")</f>
        <v>East</v>
      </c>
      <c r="F318" s="4">
        <f>ledger!D318</f>
        <v>46025.731944444444</v>
      </c>
      <c r="G318" s="5">
        <f>ledger!I318</f>
        <v>46025</v>
      </c>
      <c r="H318" s="3">
        <f>ledger!E318</f>
        <v>299</v>
      </c>
      <c r="I318" s="3" t="str">
        <f>ledger!F318</f>
        <v>Wallet</v>
      </c>
      <c r="J318" s="3" t="str">
        <f>ledger!G318</f>
        <v>captured</v>
      </c>
      <c r="K318" s="9">
        <f>HLOOKUP(I318,Fee!$B$1:$E$2,2,FALSE())</f>
        <v>1.4999999999999999E-2</v>
      </c>
      <c r="L318" s="12">
        <f t="shared" si="8"/>
        <v>4.4849999999999994</v>
      </c>
      <c r="M318" s="3">
        <f>SUMIFS(ledger!$E$2:$E$548, ledger!$C$2:$C$548, B318, ledger!$I$2:$I$548, G318)</f>
        <v>348</v>
      </c>
      <c r="N318" s="3" t="str">
        <f t="shared" si="9"/>
        <v>Standard</v>
      </c>
    </row>
    <row r="319" spans="1:14" x14ac:dyDescent="0.3">
      <c r="A319" s="3" t="str">
        <f>ledger!A319</f>
        <v>TXN100317</v>
      </c>
      <c r="B319" s="3">
        <f>ledger!C319</f>
        <v>12</v>
      </c>
      <c r="C319" s="4" t="str">
        <f>IFERROR(VLOOKUP(B319, merchants!$A$2:$D$41, 2, FALSE), "Merchant not found")</f>
        <v>Merchant_012</v>
      </c>
      <c r="D319" s="3" t="str">
        <f>IFERROR(VLOOKUP(B319, merchants!$A$2:$D$41, 3, FALSE), "Merchant not found")</f>
        <v>ecommerce</v>
      </c>
      <c r="E319" s="3" t="str">
        <f>IFERROR(VLOOKUP(B319, merchants!$A$2:$D$41, 4, FALSE), "Merchant not found")</f>
        <v>East</v>
      </c>
      <c r="F319" s="4">
        <f>ledger!D319</f>
        <v>46045.957638888889</v>
      </c>
      <c r="G319" s="5">
        <f>ledger!I319</f>
        <v>46045</v>
      </c>
      <c r="H319" s="3">
        <f>ledger!E319</f>
        <v>49</v>
      </c>
      <c r="I319" s="3" t="str">
        <f>ledger!F319</f>
        <v>Netbanking</v>
      </c>
      <c r="J319" s="3" t="str">
        <f>ledger!G319</f>
        <v>captured</v>
      </c>
      <c r="K319" s="9">
        <f>HLOOKUP(I319,Fee!$B$1:$E$2,2,FALSE())</f>
        <v>1.7999999999999999E-2</v>
      </c>
      <c r="L319" s="12">
        <f t="shared" si="8"/>
        <v>0.8819999999999999</v>
      </c>
      <c r="M319" s="3">
        <f>SUMIFS(ledger!$E$2:$E$548, ledger!$C$2:$C$548, B319, ledger!$I$2:$I$548, G319)</f>
        <v>448</v>
      </c>
      <c r="N319" s="3" t="str">
        <f t="shared" si="9"/>
        <v>Standard</v>
      </c>
    </row>
    <row r="320" spans="1:14" x14ac:dyDescent="0.3">
      <c r="A320" s="3" t="str">
        <f>ledger!A320</f>
        <v>TXN100318</v>
      </c>
      <c r="B320" s="3">
        <f>ledger!C320</f>
        <v>9</v>
      </c>
      <c r="C320" s="4" t="str">
        <f>IFERROR(VLOOKUP(B320, merchants!$A$2:$D$41, 2, FALSE), "Merchant not found")</f>
        <v>Merchant_009</v>
      </c>
      <c r="D320" s="3" t="str">
        <f>IFERROR(VLOOKUP(B320, merchants!$A$2:$D$41, 3, FALSE), "Merchant not found")</f>
        <v>ecommerce</v>
      </c>
      <c r="E320" s="3" t="str">
        <f>IFERROR(VLOOKUP(B320, merchants!$A$2:$D$41, 4, FALSE), "Merchant not found")</f>
        <v>North</v>
      </c>
      <c r="F320" s="4">
        <f>ledger!D320</f>
        <v>46039.296527777777</v>
      </c>
      <c r="G320" s="5">
        <f>ledger!I320</f>
        <v>46039</v>
      </c>
      <c r="H320" s="3">
        <f>ledger!E320</f>
        <v>149</v>
      </c>
      <c r="I320" s="3" t="str">
        <f>ledger!F320</f>
        <v>UPI</v>
      </c>
      <c r="J320" s="3" t="str">
        <f>ledger!G320</f>
        <v>captured</v>
      </c>
      <c r="K320" s="9">
        <f>HLOOKUP(I320,Fee!$B$1:$E$2,2,FALSE())</f>
        <v>5.0000000000000001E-3</v>
      </c>
      <c r="L320" s="12">
        <f t="shared" si="8"/>
        <v>0.745</v>
      </c>
      <c r="M320" s="3">
        <f>SUMIFS(ledger!$E$2:$E$548, ledger!$C$2:$C$548, B320, ledger!$I$2:$I$548, G320)</f>
        <v>248</v>
      </c>
      <c r="N320" s="3" t="str">
        <f t="shared" si="9"/>
        <v>Standard</v>
      </c>
    </row>
    <row r="321" spans="1:14" x14ac:dyDescent="0.3">
      <c r="A321" s="3" t="str">
        <f>ledger!A321</f>
        <v>TXN100319</v>
      </c>
      <c r="B321" s="3">
        <f>ledger!C321</f>
        <v>36</v>
      </c>
      <c r="C321" s="4" t="str">
        <f>IFERROR(VLOOKUP(B321, merchants!$A$2:$D$41, 2, FALSE), "Merchant not found")</f>
        <v>Merchant_036</v>
      </c>
      <c r="D321" s="3" t="str">
        <f>IFERROR(VLOOKUP(B321, merchants!$A$2:$D$41, 3, FALSE), "Merchant not found")</f>
        <v>entertainment</v>
      </c>
      <c r="E321" s="3" t="str">
        <f>IFERROR(VLOOKUP(B321, merchants!$A$2:$D$41, 4, FALSE), "Merchant not found")</f>
        <v>East</v>
      </c>
      <c r="F321" s="4">
        <f>ledger!D321</f>
        <v>46048.625694444447</v>
      </c>
      <c r="G321" s="5">
        <f>ledger!I321</f>
        <v>46048</v>
      </c>
      <c r="H321" s="3">
        <f>ledger!E321</f>
        <v>49</v>
      </c>
      <c r="I321" s="3" t="str">
        <f>ledger!F321</f>
        <v>Wallet</v>
      </c>
      <c r="J321" s="3" t="str">
        <f>ledger!G321</f>
        <v>captured</v>
      </c>
      <c r="K321" s="9">
        <f>HLOOKUP(I321,Fee!$B$1:$E$2,2,FALSE())</f>
        <v>1.4999999999999999E-2</v>
      </c>
      <c r="L321" s="12">
        <f t="shared" si="8"/>
        <v>0.73499999999999999</v>
      </c>
      <c r="M321" s="3">
        <f>SUMIFS(ledger!$E$2:$E$548, ledger!$C$2:$C$548, B321, ledger!$I$2:$I$548, G321)</f>
        <v>198</v>
      </c>
      <c r="N321" s="3" t="str">
        <f t="shared" si="9"/>
        <v>Standard</v>
      </c>
    </row>
    <row r="322" spans="1:14" x14ac:dyDescent="0.3">
      <c r="A322" s="3" t="str">
        <f>ledger!A322</f>
        <v>TXN100320</v>
      </c>
      <c r="B322" s="3">
        <f>ledger!C322</f>
        <v>9</v>
      </c>
      <c r="C322" s="4" t="str">
        <f>IFERROR(VLOOKUP(B322, merchants!$A$2:$D$41, 2, FALSE), "Merchant not found")</f>
        <v>Merchant_009</v>
      </c>
      <c r="D322" s="3" t="str">
        <f>IFERROR(VLOOKUP(B322, merchants!$A$2:$D$41, 3, FALSE), "Merchant not found")</f>
        <v>ecommerce</v>
      </c>
      <c r="E322" s="3" t="str">
        <f>IFERROR(VLOOKUP(B322, merchants!$A$2:$D$41, 4, FALSE), "Merchant not found")</f>
        <v>North</v>
      </c>
      <c r="F322" s="4">
        <f>ledger!D322</f>
        <v>46034.618750000001</v>
      </c>
      <c r="G322" s="5">
        <f>ledger!I322</f>
        <v>46034</v>
      </c>
      <c r="H322" s="3">
        <f>ledger!E322</f>
        <v>299</v>
      </c>
      <c r="I322" s="3" t="str">
        <f>ledger!F322</f>
        <v>UPI</v>
      </c>
      <c r="J322" s="3" t="str">
        <f>ledger!G322</f>
        <v>captured</v>
      </c>
      <c r="K322" s="9">
        <f>HLOOKUP(I322,Fee!$B$1:$E$2,2,FALSE())</f>
        <v>5.0000000000000001E-3</v>
      </c>
      <c r="L322" s="12">
        <f t="shared" si="8"/>
        <v>1.4950000000000001</v>
      </c>
      <c r="M322" s="3">
        <f>SUMIFS(ledger!$E$2:$E$548, ledger!$C$2:$C$548, B322, ledger!$I$2:$I$548, G322)</f>
        <v>299</v>
      </c>
      <c r="N322" s="3" t="str">
        <f t="shared" si="9"/>
        <v>Standard</v>
      </c>
    </row>
    <row r="323" spans="1:14" x14ac:dyDescent="0.3">
      <c r="A323" s="3" t="str">
        <f>ledger!A323</f>
        <v>TXN100321</v>
      </c>
      <c r="B323" s="3">
        <f>ledger!C323</f>
        <v>26</v>
      </c>
      <c r="C323" s="4" t="str">
        <f>IFERROR(VLOOKUP(B323, merchants!$A$2:$D$41, 2, FALSE), "Merchant not found")</f>
        <v>Merchant_026</v>
      </c>
      <c r="D323" s="3" t="str">
        <f>IFERROR(VLOOKUP(B323, merchants!$A$2:$D$41, 3, FALSE), "Merchant not found")</f>
        <v>food_delivery</v>
      </c>
      <c r="E323" s="3" t="str">
        <f>IFERROR(VLOOKUP(B323, merchants!$A$2:$D$41, 4, FALSE), "Merchant not found")</f>
        <v>East</v>
      </c>
      <c r="F323" s="4">
        <f>ledger!D323</f>
        <v>46051.086111111108</v>
      </c>
      <c r="G323" s="5">
        <f>ledger!I323</f>
        <v>46051</v>
      </c>
      <c r="H323" s="3">
        <f>ledger!E323</f>
        <v>99</v>
      </c>
      <c r="I323" s="3" t="str">
        <f>ledger!F323</f>
        <v>UPI</v>
      </c>
      <c r="J323" s="3" t="str">
        <f>ledger!G323</f>
        <v>captured</v>
      </c>
      <c r="K323" s="9">
        <f>HLOOKUP(I323,Fee!$B$1:$E$2,2,FALSE())</f>
        <v>5.0000000000000001E-3</v>
      </c>
      <c r="L323" s="12">
        <f t="shared" ref="L323:L386" si="10">H323*K323</f>
        <v>0.495</v>
      </c>
      <c r="M323" s="3">
        <f>SUMIFS(ledger!$E$2:$E$548, ledger!$C$2:$C$548, B323, ledger!$I$2:$I$548, G323)</f>
        <v>148</v>
      </c>
      <c r="N323" s="3" t="str">
        <f t="shared" ref="N323:N386" si="11">IF(AND(M323&gt;5000,E323&lt;&gt;"East"),"High Value","Standard")</f>
        <v>Standard</v>
      </c>
    </row>
    <row r="324" spans="1:14" x14ac:dyDescent="0.3">
      <c r="A324" s="3" t="str">
        <f>ledger!A324</f>
        <v>TXN100322</v>
      </c>
      <c r="B324" s="3">
        <f>ledger!C324</f>
        <v>27</v>
      </c>
      <c r="C324" s="4" t="str">
        <f>IFERROR(VLOOKUP(B324, merchants!$A$2:$D$41, 2, FALSE), "Merchant not found")</f>
        <v>Merchant_027</v>
      </c>
      <c r="D324" s="3" t="str">
        <f>IFERROR(VLOOKUP(B324, merchants!$A$2:$D$41, 3, FALSE), "Merchant not found")</f>
        <v>ecommerce</v>
      </c>
      <c r="E324" s="3" t="str">
        <f>IFERROR(VLOOKUP(B324, merchants!$A$2:$D$41, 4, FALSE), "Merchant not found")</f>
        <v>North</v>
      </c>
      <c r="F324" s="4">
        <f>ledger!D324</f>
        <v>46046.647916666669</v>
      </c>
      <c r="G324" s="5">
        <f>ledger!I324</f>
        <v>46046</v>
      </c>
      <c r="H324" s="3">
        <f>ledger!E324</f>
        <v>99</v>
      </c>
      <c r="I324" s="3" t="str">
        <f>ledger!F324</f>
        <v>Wallet</v>
      </c>
      <c r="J324" s="3" t="str">
        <f>ledger!G324</f>
        <v>captured</v>
      </c>
      <c r="K324" s="9">
        <f>HLOOKUP(I324,Fee!$B$1:$E$2,2,FALSE())</f>
        <v>1.4999999999999999E-2</v>
      </c>
      <c r="L324" s="12">
        <f t="shared" si="10"/>
        <v>1.4849999999999999</v>
      </c>
      <c r="M324" s="3">
        <f>SUMIFS(ledger!$E$2:$E$548, ledger!$C$2:$C$548, B324, ledger!$I$2:$I$548, G324)</f>
        <v>99</v>
      </c>
      <c r="N324" s="3" t="str">
        <f t="shared" si="11"/>
        <v>Standard</v>
      </c>
    </row>
    <row r="325" spans="1:14" x14ac:dyDescent="0.3">
      <c r="A325" s="3" t="str">
        <f>ledger!A325</f>
        <v>TXN100323</v>
      </c>
      <c r="B325" s="3">
        <f>ledger!C325</f>
        <v>5</v>
      </c>
      <c r="C325" s="4" t="str">
        <f>IFERROR(VLOOKUP(B325, merchants!$A$2:$D$41, 2, FALSE), "Merchant not found")</f>
        <v>Merchant_005</v>
      </c>
      <c r="D325" s="3" t="str">
        <f>IFERROR(VLOOKUP(B325, merchants!$A$2:$D$41, 3, FALSE), "Merchant not found")</f>
        <v>recharge</v>
      </c>
      <c r="E325" s="3" t="str">
        <f>IFERROR(VLOOKUP(B325, merchants!$A$2:$D$41, 4, FALSE), "Merchant not found")</f>
        <v>South</v>
      </c>
      <c r="F325" s="4">
        <f>ledger!D325</f>
        <v>46025.180555555555</v>
      </c>
      <c r="G325" s="5">
        <f>ledger!I325</f>
        <v>46025</v>
      </c>
      <c r="H325" s="3">
        <f>ledger!E325</f>
        <v>499</v>
      </c>
      <c r="I325" s="3" t="str">
        <f>ledger!F325</f>
        <v>Netbanking</v>
      </c>
      <c r="J325" s="3" t="str">
        <f>ledger!G325</f>
        <v>captured</v>
      </c>
      <c r="K325" s="9">
        <f>HLOOKUP(I325,Fee!$B$1:$E$2,2,FALSE())</f>
        <v>1.7999999999999999E-2</v>
      </c>
      <c r="L325" s="12">
        <f t="shared" si="10"/>
        <v>8.9819999999999993</v>
      </c>
      <c r="M325" s="3">
        <f>SUMIFS(ledger!$E$2:$E$548, ledger!$C$2:$C$548, B325, ledger!$I$2:$I$548, G325)</f>
        <v>499</v>
      </c>
      <c r="N325" s="3" t="str">
        <f t="shared" si="11"/>
        <v>Standard</v>
      </c>
    </row>
    <row r="326" spans="1:14" x14ac:dyDescent="0.3">
      <c r="A326" s="3" t="str">
        <f>ledger!A326</f>
        <v>TXN100324</v>
      </c>
      <c r="B326" s="3">
        <f>ledger!C326</f>
        <v>9</v>
      </c>
      <c r="C326" s="4" t="str">
        <f>IFERROR(VLOOKUP(B326, merchants!$A$2:$D$41, 2, FALSE), "Merchant not found")</f>
        <v>Merchant_009</v>
      </c>
      <c r="D326" s="3" t="str">
        <f>IFERROR(VLOOKUP(B326, merchants!$A$2:$D$41, 3, FALSE), "Merchant not found")</f>
        <v>ecommerce</v>
      </c>
      <c r="E326" s="3" t="str">
        <f>IFERROR(VLOOKUP(B326, merchants!$A$2:$D$41, 4, FALSE), "Merchant not found")</f>
        <v>North</v>
      </c>
      <c r="F326" s="4">
        <f>ledger!D326</f>
        <v>46037.897916666669</v>
      </c>
      <c r="G326" s="5">
        <f>ledger!I326</f>
        <v>46037</v>
      </c>
      <c r="H326" s="3">
        <f>ledger!E326</f>
        <v>99</v>
      </c>
      <c r="I326" s="3" t="str">
        <f>ledger!F326</f>
        <v>UPI</v>
      </c>
      <c r="J326" s="3" t="str">
        <f>ledger!G326</f>
        <v>captured</v>
      </c>
      <c r="K326" s="9">
        <f>HLOOKUP(I326,Fee!$B$1:$E$2,2,FALSE())</f>
        <v>5.0000000000000001E-3</v>
      </c>
      <c r="L326" s="12">
        <f t="shared" si="10"/>
        <v>0.495</v>
      </c>
      <c r="M326" s="3">
        <f>SUMIFS(ledger!$E$2:$E$548, ledger!$C$2:$C$548, B326, ledger!$I$2:$I$548, G326)</f>
        <v>148</v>
      </c>
      <c r="N326" s="3" t="str">
        <f t="shared" si="11"/>
        <v>Standard</v>
      </c>
    </row>
    <row r="327" spans="1:14" x14ac:dyDescent="0.3">
      <c r="A327" s="3" t="str">
        <f>ledger!A327</f>
        <v>TXN100325</v>
      </c>
      <c r="B327" s="3">
        <f>ledger!C327</f>
        <v>9</v>
      </c>
      <c r="C327" s="4" t="str">
        <f>IFERROR(VLOOKUP(B327, merchants!$A$2:$D$41, 2, FALSE), "Merchant not found")</f>
        <v>Merchant_009</v>
      </c>
      <c r="D327" s="3" t="str">
        <f>IFERROR(VLOOKUP(B327, merchants!$A$2:$D$41, 3, FALSE), "Merchant not found")</f>
        <v>ecommerce</v>
      </c>
      <c r="E327" s="3" t="str">
        <f>IFERROR(VLOOKUP(B327, merchants!$A$2:$D$41, 4, FALSE), "Merchant not found")</f>
        <v>North</v>
      </c>
      <c r="F327" s="4">
        <f>ledger!D327</f>
        <v>46040.859027777777</v>
      </c>
      <c r="G327" s="5">
        <f>ledger!I327</f>
        <v>46040</v>
      </c>
      <c r="H327" s="3">
        <f>ledger!E327</f>
        <v>299</v>
      </c>
      <c r="I327" s="3" t="str">
        <f>ledger!F327</f>
        <v>UPI</v>
      </c>
      <c r="J327" s="3" t="str">
        <f>ledger!G327</f>
        <v>captured</v>
      </c>
      <c r="K327" s="9">
        <f>HLOOKUP(I327,Fee!$B$1:$E$2,2,FALSE())</f>
        <v>5.0000000000000001E-3</v>
      </c>
      <c r="L327" s="12">
        <f t="shared" si="10"/>
        <v>1.4950000000000001</v>
      </c>
      <c r="M327" s="3">
        <f>SUMIFS(ledger!$E$2:$E$548, ledger!$C$2:$C$548, B327, ledger!$I$2:$I$548, G327)</f>
        <v>299</v>
      </c>
      <c r="N327" s="3" t="str">
        <f t="shared" si="11"/>
        <v>Standard</v>
      </c>
    </row>
    <row r="328" spans="1:14" x14ac:dyDescent="0.3">
      <c r="A328" s="3" t="str">
        <f>ledger!A328</f>
        <v>TXN100326</v>
      </c>
      <c r="B328" s="3">
        <f>ledger!C328</f>
        <v>34</v>
      </c>
      <c r="C328" s="4" t="str">
        <f>IFERROR(VLOOKUP(B328, merchants!$A$2:$D$41, 2, FALSE), "Merchant not found")</f>
        <v>Merchant_034</v>
      </c>
      <c r="D328" s="3" t="str">
        <f>IFERROR(VLOOKUP(B328, merchants!$A$2:$D$41, 3, FALSE), "Merchant not found")</f>
        <v>travel</v>
      </c>
      <c r="E328" s="3" t="str">
        <f>IFERROR(VLOOKUP(B328, merchants!$A$2:$D$41, 4, FALSE), "Merchant not found")</f>
        <v>South</v>
      </c>
      <c r="F328" s="4">
        <f>ledger!D328</f>
        <v>46039.078472222223</v>
      </c>
      <c r="G328" s="5">
        <f>ledger!I328</f>
        <v>46039</v>
      </c>
      <c r="H328" s="3">
        <f>ledger!E328</f>
        <v>299</v>
      </c>
      <c r="I328" s="3" t="str">
        <f>ledger!F328</f>
        <v>UPI</v>
      </c>
      <c r="J328" s="3" t="str">
        <f>ledger!G328</f>
        <v>captured</v>
      </c>
      <c r="K328" s="9">
        <f>HLOOKUP(I328,Fee!$B$1:$E$2,2,FALSE())</f>
        <v>5.0000000000000001E-3</v>
      </c>
      <c r="L328" s="12">
        <f t="shared" si="10"/>
        <v>1.4950000000000001</v>
      </c>
      <c r="M328" s="3">
        <f>SUMIFS(ledger!$E$2:$E$548, ledger!$C$2:$C$548, B328, ledger!$I$2:$I$548, G328)</f>
        <v>299</v>
      </c>
      <c r="N328" s="3" t="str">
        <f t="shared" si="11"/>
        <v>Standard</v>
      </c>
    </row>
    <row r="329" spans="1:14" x14ac:dyDescent="0.3">
      <c r="A329" s="3" t="str">
        <f>ledger!A329</f>
        <v>TXN100327</v>
      </c>
      <c r="B329" s="3">
        <f>ledger!C329</f>
        <v>15</v>
      </c>
      <c r="C329" s="4" t="str">
        <f>IFERROR(VLOOKUP(B329, merchants!$A$2:$D$41, 2, FALSE), "Merchant not found")</f>
        <v>Merchant_015</v>
      </c>
      <c r="D329" s="3" t="str">
        <f>IFERROR(VLOOKUP(B329, merchants!$A$2:$D$41, 3, FALSE), "Merchant not found")</f>
        <v>travel</v>
      </c>
      <c r="E329" s="3" t="str">
        <f>IFERROR(VLOOKUP(B329, merchants!$A$2:$D$41, 4, FALSE), "Merchant not found")</f>
        <v>North</v>
      </c>
      <c r="F329" s="4">
        <f>ledger!D329</f>
        <v>46032.215277777781</v>
      </c>
      <c r="G329" s="5">
        <f>ledger!I329</f>
        <v>46032</v>
      </c>
      <c r="H329" s="3">
        <f>ledger!E329</f>
        <v>49</v>
      </c>
      <c r="I329" s="3" t="str">
        <f>ledger!F329</f>
        <v>UPI</v>
      </c>
      <c r="J329" s="3" t="str">
        <f>ledger!G329</f>
        <v>captured</v>
      </c>
      <c r="K329" s="9">
        <f>HLOOKUP(I329,Fee!$B$1:$E$2,2,FALSE())</f>
        <v>5.0000000000000001E-3</v>
      </c>
      <c r="L329" s="12">
        <f t="shared" si="10"/>
        <v>0.245</v>
      </c>
      <c r="M329" s="3">
        <f>SUMIFS(ledger!$E$2:$E$548, ledger!$C$2:$C$548, B329, ledger!$I$2:$I$548, G329)</f>
        <v>49</v>
      </c>
      <c r="N329" s="3" t="str">
        <f t="shared" si="11"/>
        <v>Standard</v>
      </c>
    </row>
    <row r="330" spans="1:14" x14ac:dyDescent="0.3">
      <c r="A330" s="3" t="str">
        <f>ledger!A330</f>
        <v>TXN100328</v>
      </c>
      <c r="B330" s="3">
        <f>ledger!C330</f>
        <v>17</v>
      </c>
      <c r="C330" s="4" t="str">
        <f>IFERROR(VLOOKUP(B330, merchants!$A$2:$D$41, 2, FALSE), "Merchant not found")</f>
        <v>Merchant_017</v>
      </c>
      <c r="D330" s="3" t="str">
        <f>IFERROR(VLOOKUP(B330, merchants!$A$2:$D$41, 3, FALSE), "Merchant not found")</f>
        <v>grocery</v>
      </c>
      <c r="E330" s="3" t="str">
        <f>IFERROR(VLOOKUP(B330, merchants!$A$2:$D$41, 4, FALSE), "Merchant not found")</f>
        <v>North</v>
      </c>
      <c r="F330" s="4">
        <f>ledger!D330</f>
        <v>46039.412499999999</v>
      </c>
      <c r="G330" s="5">
        <f>ledger!I330</f>
        <v>46039</v>
      </c>
      <c r="H330" s="3">
        <f>ledger!E330</f>
        <v>299</v>
      </c>
      <c r="I330" s="3" t="str">
        <f>ledger!F330</f>
        <v>Wallet</v>
      </c>
      <c r="J330" s="3" t="str">
        <f>ledger!G330</f>
        <v>captured</v>
      </c>
      <c r="K330" s="9">
        <f>HLOOKUP(I330,Fee!$B$1:$E$2,2,FALSE())</f>
        <v>1.4999999999999999E-2</v>
      </c>
      <c r="L330" s="12">
        <f t="shared" si="10"/>
        <v>4.4849999999999994</v>
      </c>
      <c r="M330" s="3">
        <f>SUMIFS(ledger!$E$2:$E$548, ledger!$C$2:$C$548, B330, ledger!$I$2:$I$548, G330)</f>
        <v>299</v>
      </c>
      <c r="N330" s="3" t="str">
        <f t="shared" si="11"/>
        <v>Standard</v>
      </c>
    </row>
    <row r="331" spans="1:14" x14ac:dyDescent="0.3">
      <c r="A331" s="3" t="str">
        <f>ledger!A331</f>
        <v>TXN100329</v>
      </c>
      <c r="B331" s="3">
        <f>ledger!C331</f>
        <v>20</v>
      </c>
      <c r="C331" s="4" t="str">
        <f>IFERROR(VLOOKUP(B331, merchants!$A$2:$D$41, 2, FALSE), "Merchant not found")</f>
        <v>Merchant_020</v>
      </c>
      <c r="D331" s="3" t="str">
        <f>IFERROR(VLOOKUP(B331, merchants!$A$2:$D$41, 3, FALSE), "Merchant not found")</f>
        <v>food_delivery</v>
      </c>
      <c r="E331" s="3" t="str">
        <f>IFERROR(VLOOKUP(B331, merchants!$A$2:$D$41, 4, FALSE), "Merchant not found")</f>
        <v>East</v>
      </c>
      <c r="F331" s="4">
        <f>ledger!D331</f>
        <v>46043.720138888886</v>
      </c>
      <c r="G331" s="5">
        <f>ledger!I331</f>
        <v>46043</v>
      </c>
      <c r="H331" s="3">
        <f>ledger!E331</f>
        <v>99</v>
      </c>
      <c r="I331" s="3" t="str">
        <f>ledger!F331</f>
        <v>Card</v>
      </c>
      <c r="J331" s="3" t="str">
        <f>ledger!G331</f>
        <v>captured</v>
      </c>
      <c r="K331" s="9">
        <f>HLOOKUP(I331,Fee!$B$1:$E$2,2,FALSE())</f>
        <v>0.02</v>
      </c>
      <c r="L331" s="12">
        <f t="shared" si="10"/>
        <v>1.98</v>
      </c>
      <c r="M331" s="3">
        <f>SUMIFS(ledger!$E$2:$E$548, ledger!$C$2:$C$548, B331, ledger!$I$2:$I$548, G331)</f>
        <v>99</v>
      </c>
      <c r="N331" s="3" t="str">
        <f t="shared" si="11"/>
        <v>Standard</v>
      </c>
    </row>
    <row r="332" spans="1:14" x14ac:dyDescent="0.3">
      <c r="A332" s="3" t="str">
        <f>ledger!A332</f>
        <v>TXN100330</v>
      </c>
      <c r="B332" s="3">
        <f>ledger!C332</f>
        <v>11</v>
      </c>
      <c r="C332" s="4" t="str">
        <f>IFERROR(VLOOKUP(B332, merchants!$A$2:$D$41, 2, FALSE), "Merchant not found")</f>
        <v>Merchant_011</v>
      </c>
      <c r="D332" s="3" t="str">
        <f>IFERROR(VLOOKUP(B332, merchants!$A$2:$D$41, 3, FALSE), "Merchant not found")</f>
        <v>ecommerce</v>
      </c>
      <c r="E332" s="3" t="str">
        <f>IFERROR(VLOOKUP(B332, merchants!$A$2:$D$41, 4, FALSE), "Merchant not found")</f>
        <v>North</v>
      </c>
      <c r="F332" s="4">
        <f>ledger!D332</f>
        <v>46040.105555555558</v>
      </c>
      <c r="G332" s="5">
        <f>ledger!I332</f>
        <v>46040</v>
      </c>
      <c r="H332" s="3">
        <f>ledger!E332</f>
        <v>499</v>
      </c>
      <c r="I332" s="3" t="str">
        <f>ledger!F332</f>
        <v>UPI</v>
      </c>
      <c r="J332" s="3" t="str">
        <f>ledger!G332</f>
        <v>captured</v>
      </c>
      <c r="K332" s="9">
        <f>HLOOKUP(I332,Fee!$B$1:$E$2,2,FALSE())</f>
        <v>5.0000000000000001E-3</v>
      </c>
      <c r="L332" s="12">
        <f t="shared" si="10"/>
        <v>2.4950000000000001</v>
      </c>
      <c r="M332" s="3">
        <f>SUMIFS(ledger!$E$2:$E$548, ledger!$C$2:$C$548, B332, ledger!$I$2:$I$548, G332)</f>
        <v>499</v>
      </c>
      <c r="N332" s="3" t="str">
        <f t="shared" si="11"/>
        <v>Standard</v>
      </c>
    </row>
    <row r="333" spans="1:14" x14ac:dyDescent="0.3">
      <c r="A333" s="3" t="str">
        <f>ledger!A333</f>
        <v>TXN100331</v>
      </c>
      <c r="B333" s="3">
        <f>ledger!C333</f>
        <v>40</v>
      </c>
      <c r="C333" s="4" t="str">
        <f>IFERROR(VLOOKUP(B333, merchants!$A$2:$D$41, 2, FALSE), "Merchant not found")</f>
        <v>Merchant_040</v>
      </c>
      <c r="D333" s="3" t="str">
        <f>IFERROR(VLOOKUP(B333, merchants!$A$2:$D$41, 3, FALSE), "Merchant not found")</f>
        <v>entertainment</v>
      </c>
      <c r="E333" s="3" t="str">
        <f>IFERROR(VLOOKUP(B333, merchants!$A$2:$D$41, 4, FALSE), "Merchant not found")</f>
        <v>South</v>
      </c>
      <c r="F333" s="4">
        <f>ledger!D333</f>
        <v>46041.173611111109</v>
      </c>
      <c r="G333" s="5">
        <f>ledger!I333</f>
        <v>46041</v>
      </c>
      <c r="H333" s="3">
        <f>ledger!E333</f>
        <v>149</v>
      </c>
      <c r="I333" s="3" t="str">
        <f>ledger!F333</f>
        <v>UPI</v>
      </c>
      <c r="J333" s="3" t="str">
        <f>ledger!G333</f>
        <v>captured</v>
      </c>
      <c r="K333" s="9">
        <f>HLOOKUP(I333,Fee!$B$1:$E$2,2,FALSE())</f>
        <v>5.0000000000000001E-3</v>
      </c>
      <c r="L333" s="12">
        <f t="shared" si="10"/>
        <v>0.745</v>
      </c>
      <c r="M333" s="3">
        <f>SUMIFS(ledger!$E$2:$E$548, ledger!$C$2:$C$548, B333, ledger!$I$2:$I$548, G333)</f>
        <v>648</v>
      </c>
      <c r="N333" s="3" t="str">
        <f t="shared" si="11"/>
        <v>Standard</v>
      </c>
    </row>
    <row r="334" spans="1:14" x14ac:dyDescent="0.3">
      <c r="A334" s="3" t="str">
        <f>ledger!A334</f>
        <v>TXN100332</v>
      </c>
      <c r="B334" s="3">
        <f>ledger!C334</f>
        <v>3</v>
      </c>
      <c r="C334" s="4" t="str">
        <f>IFERROR(VLOOKUP(B334, merchants!$A$2:$D$41, 2, FALSE), "Merchant not found")</f>
        <v>Merchant_003</v>
      </c>
      <c r="D334" s="3" t="str">
        <f>IFERROR(VLOOKUP(B334, merchants!$A$2:$D$41, 3, FALSE), "Merchant not found")</f>
        <v>grocery</v>
      </c>
      <c r="E334" s="3" t="str">
        <f>IFERROR(VLOOKUP(B334, merchants!$A$2:$D$41, 4, FALSE), "Merchant not found")</f>
        <v>East</v>
      </c>
      <c r="F334" s="4">
        <f>ledger!D334</f>
        <v>46051.806250000001</v>
      </c>
      <c r="G334" s="5">
        <f>ledger!I334</f>
        <v>46051</v>
      </c>
      <c r="H334" s="3">
        <f>ledger!E334</f>
        <v>49</v>
      </c>
      <c r="I334" s="3" t="str">
        <f>ledger!F334</f>
        <v>Netbanking</v>
      </c>
      <c r="J334" s="3" t="str">
        <f>ledger!G334</f>
        <v>captured</v>
      </c>
      <c r="K334" s="9">
        <f>HLOOKUP(I334,Fee!$B$1:$E$2,2,FALSE())</f>
        <v>1.7999999999999999E-2</v>
      </c>
      <c r="L334" s="12">
        <f t="shared" si="10"/>
        <v>0.8819999999999999</v>
      </c>
      <c r="M334" s="3">
        <f>SUMIFS(ledger!$E$2:$E$548, ledger!$C$2:$C$548, B334, ledger!$I$2:$I$548, G334)</f>
        <v>49</v>
      </c>
      <c r="N334" s="3" t="str">
        <f t="shared" si="11"/>
        <v>Standard</v>
      </c>
    </row>
    <row r="335" spans="1:14" x14ac:dyDescent="0.3">
      <c r="A335" s="3" t="str">
        <f>ledger!A335</f>
        <v>TXN100333</v>
      </c>
      <c r="B335" s="3">
        <f>ledger!C335</f>
        <v>17</v>
      </c>
      <c r="C335" s="4" t="str">
        <f>IFERROR(VLOOKUP(B335, merchants!$A$2:$D$41, 2, FALSE), "Merchant not found")</f>
        <v>Merchant_017</v>
      </c>
      <c r="D335" s="3" t="str">
        <f>IFERROR(VLOOKUP(B335, merchants!$A$2:$D$41, 3, FALSE), "Merchant not found")</f>
        <v>grocery</v>
      </c>
      <c r="E335" s="3" t="str">
        <f>IFERROR(VLOOKUP(B335, merchants!$A$2:$D$41, 4, FALSE), "Merchant not found")</f>
        <v>North</v>
      </c>
      <c r="F335" s="4">
        <f>ledger!D335</f>
        <v>46025.070138888892</v>
      </c>
      <c r="G335" s="5">
        <f>ledger!I335</f>
        <v>46025</v>
      </c>
      <c r="H335" s="3">
        <f>ledger!E335</f>
        <v>99</v>
      </c>
      <c r="I335" s="3" t="str">
        <f>ledger!F335</f>
        <v>UPI</v>
      </c>
      <c r="J335" s="3" t="str">
        <f>ledger!G335</f>
        <v>captured</v>
      </c>
      <c r="K335" s="9">
        <f>HLOOKUP(I335,Fee!$B$1:$E$2,2,FALSE())</f>
        <v>5.0000000000000001E-3</v>
      </c>
      <c r="L335" s="12">
        <f t="shared" si="10"/>
        <v>0.495</v>
      </c>
      <c r="M335" s="3">
        <f>SUMIFS(ledger!$E$2:$E$548, ledger!$C$2:$C$548, B335, ledger!$I$2:$I$548, G335)</f>
        <v>398</v>
      </c>
      <c r="N335" s="3" t="str">
        <f t="shared" si="11"/>
        <v>Standard</v>
      </c>
    </row>
    <row r="336" spans="1:14" x14ac:dyDescent="0.3">
      <c r="A336" s="3" t="str">
        <f>ledger!A336</f>
        <v>TXN100334</v>
      </c>
      <c r="B336" s="3">
        <f>ledger!C336</f>
        <v>2</v>
      </c>
      <c r="C336" s="4" t="str">
        <f>IFERROR(VLOOKUP(B336, merchants!$A$2:$D$41, 2, FALSE), "Merchant not found")</f>
        <v>Merchant_002</v>
      </c>
      <c r="D336" s="3" t="str">
        <f>IFERROR(VLOOKUP(B336, merchants!$A$2:$D$41, 3, FALSE), "Merchant not found")</f>
        <v>grocery</v>
      </c>
      <c r="E336" s="3" t="str">
        <f>IFERROR(VLOOKUP(B336, merchants!$A$2:$D$41, 4, FALSE), "Merchant not found")</f>
        <v>West</v>
      </c>
      <c r="F336" s="4">
        <f>ledger!D336</f>
        <v>46029.768055555556</v>
      </c>
      <c r="G336" s="5">
        <f>ledger!I336</f>
        <v>46029</v>
      </c>
      <c r="H336" s="3">
        <f>ledger!E336</f>
        <v>499</v>
      </c>
      <c r="I336" s="3" t="str">
        <f>ledger!F336</f>
        <v>Card</v>
      </c>
      <c r="J336" s="3" t="str">
        <f>ledger!G336</f>
        <v>captured</v>
      </c>
      <c r="K336" s="9">
        <f>HLOOKUP(I336,Fee!$B$1:$E$2,2,FALSE())</f>
        <v>0.02</v>
      </c>
      <c r="L336" s="12">
        <f t="shared" si="10"/>
        <v>9.98</v>
      </c>
      <c r="M336" s="3">
        <f>SUMIFS(ledger!$E$2:$E$548, ledger!$C$2:$C$548, B336, ledger!$I$2:$I$548, G336)</f>
        <v>499</v>
      </c>
      <c r="N336" s="3" t="str">
        <f t="shared" si="11"/>
        <v>Standard</v>
      </c>
    </row>
    <row r="337" spans="1:14" x14ac:dyDescent="0.3">
      <c r="A337" s="3" t="str">
        <f>ledger!A337</f>
        <v>TXN100335</v>
      </c>
      <c r="B337" s="3">
        <f>ledger!C337</f>
        <v>20</v>
      </c>
      <c r="C337" s="4" t="str">
        <f>IFERROR(VLOOKUP(B337, merchants!$A$2:$D$41, 2, FALSE), "Merchant not found")</f>
        <v>Merchant_020</v>
      </c>
      <c r="D337" s="3" t="str">
        <f>IFERROR(VLOOKUP(B337, merchants!$A$2:$D$41, 3, FALSE), "Merchant not found")</f>
        <v>food_delivery</v>
      </c>
      <c r="E337" s="3" t="str">
        <f>IFERROR(VLOOKUP(B337, merchants!$A$2:$D$41, 4, FALSE), "Merchant not found")</f>
        <v>East</v>
      </c>
      <c r="F337" s="4">
        <f>ledger!D337</f>
        <v>46051.856944444444</v>
      </c>
      <c r="G337" s="5">
        <f>ledger!I337</f>
        <v>46051</v>
      </c>
      <c r="H337" s="3">
        <f>ledger!E337</f>
        <v>499</v>
      </c>
      <c r="I337" s="3" t="str">
        <f>ledger!F337</f>
        <v>Card</v>
      </c>
      <c r="J337" s="3" t="str">
        <f>ledger!G337</f>
        <v>captured</v>
      </c>
      <c r="K337" s="9">
        <f>HLOOKUP(I337,Fee!$B$1:$E$2,2,FALSE())</f>
        <v>0.02</v>
      </c>
      <c r="L337" s="12">
        <f t="shared" si="10"/>
        <v>9.98</v>
      </c>
      <c r="M337" s="3">
        <f>SUMIFS(ledger!$E$2:$E$548, ledger!$C$2:$C$548, B337, ledger!$I$2:$I$548, G337)</f>
        <v>499</v>
      </c>
      <c r="N337" s="3" t="str">
        <f t="shared" si="11"/>
        <v>Standard</v>
      </c>
    </row>
    <row r="338" spans="1:14" x14ac:dyDescent="0.3">
      <c r="A338" s="3" t="str">
        <f>ledger!A338</f>
        <v>TXN100336</v>
      </c>
      <c r="B338" s="3">
        <f>ledger!C338</f>
        <v>30</v>
      </c>
      <c r="C338" s="4" t="str">
        <f>IFERROR(VLOOKUP(B338, merchants!$A$2:$D$41, 2, FALSE), "Merchant not found")</f>
        <v>Merchant_030</v>
      </c>
      <c r="D338" s="3" t="str">
        <f>IFERROR(VLOOKUP(B338, merchants!$A$2:$D$41, 3, FALSE), "Merchant not found")</f>
        <v>travel</v>
      </c>
      <c r="E338" s="3" t="str">
        <f>IFERROR(VLOOKUP(B338, merchants!$A$2:$D$41, 4, FALSE), "Merchant not found")</f>
        <v>West</v>
      </c>
      <c r="F338" s="4">
        <f>ledger!D338</f>
        <v>46030.892361111109</v>
      </c>
      <c r="G338" s="5">
        <f>ledger!I338</f>
        <v>46030</v>
      </c>
      <c r="H338" s="3">
        <f>ledger!E338</f>
        <v>299</v>
      </c>
      <c r="I338" s="3" t="str">
        <f>ledger!F338</f>
        <v>UPI</v>
      </c>
      <c r="J338" s="3" t="str">
        <f>ledger!G338</f>
        <v>captured</v>
      </c>
      <c r="K338" s="9">
        <f>HLOOKUP(I338,Fee!$B$1:$E$2,2,FALSE())</f>
        <v>5.0000000000000001E-3</v>
      </c>
      <c r="L338" s="12">
        <f t="shared" si="10"/>
        <v>1.4950000000000001</v>
      </c>
      <c r="M338" s="3">
        <f>SUMIFS(ledger!$E$2:$E$548, ledger!$C$2:$C$548, B338, ledger!$I$2:$I$548, G338)</f>
        <v>1197</v>
      </c>
      <c r="N338" s="3" t="str">
        <f t="shared" si="11"/>
        <v>Standard</v>
      </c>
    </row>
    <row r="339" spans="1:14" x14ac:dyDescent="0.3">
      <c r="A339" s="3" t="str">
        <f>ledger!A339</f>
        <v>TXN100337</v>
      </c>
      <c r="B339" s="3">
        <f>ledger!C339</f>
        <v>27</v>
      </c>
      <c r="C339" s="4" t="str">
        <f>IFERROR(VLOOKUP(B339, merchants!$A$2:$D$41, 2, FALSE), "Merchant not found")</f>
        <v>Merchant_027</v>
      </c>
      <c r="D339" s="3" t="str">
        <f>IFERROR(VLOOKUP(B339, merchants!$A$2:$D$41, 3, FALSE), "Merchant not found")</f>
        <v>ecommerce</v>
      </c>
      <c r="E339" s="3" t="str">
        <f>IFERROR(VLOOKUP(B339, merchants!$A$2:$D$41, 4, FALSE), "Merchant not found")</f>
        <v>North</v>
      </c>
      <c r="F339" s="4">
        <f>ledger!D339</f>
        <v>46045.048611111109</v>
      </c>
      <c r="G339" s="5">
        <f>ledger!I339</f>
        <v>46045</v>
      </c>
      <c r="H339" s="3">
        <f>ledger!E339</f>
        <v>2999</v>
      </c>
      <c r="I339" s="3" t="str">
        <f>ledger!F339</f>
        <v>UPI</v>
      </c>
      <c r="J339" s="3" t="str">
        <f>ledger!G339</f>
        <v>chargeback</v>
      </c>
      <c r="K339" s="9">
        <f>HLOOKUP(I339,Fee!$B$1:$E$2,2,FALSE())</f>
        <v>5.0000000000000001E-3</v>
      </c>
      <c r="L339" s="12">
        <f t="shared" si="10"/>
        <v>14.995000000000001</v>
      </c>
      <c r="M339" s="3">
        <f>SUMIFS(ledger!$E$2:$E$548, ledger!$C$2:$C$548, B339, ledger!$I$2:$I$548, G339)</f>
        <v>3998</v>
      </c>
      <c r="N339" s="3" t="str">
        <f t="shared" si="11"/>
        <v>Standard</v>
      </c>
    </row>
    <row r="340" spans="1:14" x14ac:dyDescent="0.3">
      <c r="A340" s="3" t="str">
        <f>ledger!A340</f>
        <v>TXN100338</v>
      </c>
      <c r="B340" s="3">
        <f>ledger!C340</f>
        <v>10</v>
      </c>
      <c r="C340" s="4" t="str">
        <f>IFERROR(VLOOKUP(B340, merchants!$A$2:$D$41, 2, FALSE), "Merchant not found")</f>
        <v>Merchant_010</v>
      </c>
      <c r="D340" s="3" t="str">
        <f>IFERROR(VLOOKUP(B340, merchants!$A$2:$D$41, 3, FALSE), "Merchant not found")</f>
        <v>grocery</v>
      </c>
      <c r="E340" s="3" t="str">
        <f>IFERROR(VLOOKUP(B340, merchants!$A$2:$D$41, 4, FALSE), "Merchant not found")</f>
        <v>West</v>
      </c>
      <c r="F340" s="4">
        <f>ledger!D340</f>
        <v>46037.26458333333</v>
      </c>
      <c r="G340" s="5">
        <f>ledger!I340</f>
        <v>46037</v>
      </c>
      <c r="H340" s="3">
        <f>ledger!E340</f>
        <v>2999</v>
      </c>
      <c r="I340" s="3" t="str">
        <f>ledger!F340</f>
        <v>UPI</v>
      </c>
      <c r="J340" s="3" t="str">
        <f>ledger!G340</f>
        <v>captured</v>
      </c>
      <c r="K340" s="9">
        <f>HLOOKUP(I340,Fee!$B$1:$E$2,2,FALSE())</f>
        <v>5.0000000000000001E-3</v>
      </c>
      <c r="L340" s="12">
        <f t="shared" si="10"/>
        <v>14.995000000000001</v>
      </c>
      <c r="M340" s="3">
        <f>SUMIFS(ledger!$E$2:$E$548, ledger!$C$2:$C$548, B340, ledger!$I$2:$I$548, G340)</f>
        <v>2999</v>
      </c>
      <c r="N340" s="3" t="str">
        <f t="shared" si="11"/>
        <v>Standard</v>
      </c>
    </row>
    <row r="341" spans="1:14" x14ac:dyDescent="0.3">
      <c r="A341" s="3" t="str">
        <f>ledger!A341</f>
        <v>TXN100339</v>
      </c>
      <c r="B341" s="3">
        <f>ledger!C341</f>
        <v>26</v>
      </c>
      <c r="C341" s="4" t="str">
        <f>IFERROR(VLOOKUP(B341, merchants!$A$2:$D$41, 2, FALSE), "Merchant not found")</f>
        <v>Merchant_026</v>
      </c>
      <c r="D341" s="3" t="str">
        <f>IFERROR(VLOOKUP(B341, merchants!$A$2:$D$41, 3, FALSE), "Merchant not found")</f>
        <v>food_delivery</v>
      </c>
      <c r="E341" s="3" t="str">
        <f>IFERROR(VLOOKUP(B341, merchants!$A$2:$D$41, 4, FALSE), "Merchant not found")</f>
        <v>East</v>
      </c>
      <c r="F341" s="4">
        <f>ledger!D341</f>
        <v>46050.930555555555</v>
      </c>
      <c r="G341" s="5">
        <f>ledger!I341</f>
        <v>46050</v>
      </c>
      <c r="H341" s="3">
        <f>ledger!E341</f>
        <v>1499</v>
      </c>
      <c r="I341" s="3" t="str">
        <f>ledger!F341</f>
        <v>UPI</v>
      </c>
      <c r="J341" s="3" t="str">
        <f>ledger!G341</f>
        <v>captured</v>
      </c>
      <c r="K341" s="9">
        <f>HLOOKUP(I341,Fee!$B$1:$E$2,2,FALSE())</f>
        <v>5.0000000000000001E-3</v>
      </c>
      <c r="L341" s="12">
        <f t="shared" si="10"/>
        <v>7.4950000000000001</v>
      </c>
      <c r="M341" s="3">
        <f>SUMIFS(ledger!$E$2:$E$548, ledger!$C$2:$C$548, B341, ledger!$I$2:$I$548, G341)</f>
        <v>1499</v>
      </c>
      <c r="N341" s="3" t="str">
        <f t="shared" si="11"/>
        <v>Standard</v>
      </c>
    </row>
    <row r="342" spans="1:14" x14ac:dyDescent="0.3">
      <c r="A342" s="3" t="str">
        <f>ledger!A342</f>
        <v>TXN100340</v>
      </c>
      <c r="B342" s="3">
        <f>ledger!C342</f>
        <v>7</v>
      </c>
      <c r="C342" s="4" t="str">
        <f>IFERROR(VLOOKUP(B342, merchants!$A$2:$D$41, 2, FALSE), "Merchant not found")</f>
        <v>Merchant_007</v>
      </c>
      <c r="D342" s="3" t="str">
        <f>IFERROR(VLOOKUP(B342, merchants!$A$2:$D$41, 3, FALSE), "Merchant not found")</f>
        <v>food_delivery</v>
      </c>
      <c r="E342" s="3" t="str">
        <f>IFERROR(VLOOKUP(B342, merchants!$A$2:$D$41, 4, FALSE), "Merchant not found")</f>
        <v>East</v>
      </c>
      <c r="F342" s="4">
        <f>ledger!D342</f>
        <v>46047.480555555558</v>
      </c>
      <c r="G342" s="5">
        <f>ledger!I342</f>
        <v>46047</v>
      </c>
      <c r="H342" s="3">
        <f>ledger!E342</f>
        <v>99</v>
      </c>
      <c r="I342" s="3" t="str">
        <f>ledger!F342</f>
        <v>Netbanking</v>
      </c>
      <c r="J342" s="3" t="str">
        <f>ledger!G342</f>
        <v>captured</v>
      </c>
      <c r="K342" s="9">
        <f>HLOOKUP(I342,Fee!$B$1:$E$2,2,FALSE())</f>
        <v>1.7999999999999999E-2</v>
      </c>
      <c r="L342" s="12">
        <f t="shared" si="10"/>
        <v>1.7819999999999998</v>
      </c>
      <c r="M342" s="3">
        <f>SUMIFS(ledger!$E$2:$E$548, ledger!$C$2:$C$548, B342, ledger!$I$2:$I$548, G342)</f>
        <v>99</v>
      </c>
      <c r="N342" s="3" t="str">
        <f t="shared" si="11"/>
        <v>Standard</v>
      </c>
    </row>
    <row r="343" spans="1:14" x14ac:dyDescent="0.3">
      <c r="A343" s="3" t="str">
        <f>ledger!A343</f>
        <v>TXN100341</v>
      </c>
      <c r="B343" s="3">
        <f>ledger!C343</f>
        <v>29</v>
      </c>
      <c r="C343" s="4" t="str">
        <f>IFERROR(VLOOKUP(B343, merchants!$A$2:$D$41, 2, FALSE), "Merchant not found")</f>
        <v>Merchant_029</v>
      </c>
      <c r="D343" s="3" t="str">
        <f>IFERROR(VLOOKUP(B343, merchants!$A$2:$D$41, 3, FALSE), "Merchant not found")</f>
        <v>ecommerce</v>
      </c>
      <c r="E343" s="3" t="str">
        <f>IFERROR(VLOOKUP(B343, merchants!$A$2:$D$41, 4, FALSE), "Merchant not found")</f>
        <v>North</v>
      </c>
      <c r="F343" s="4">
        <f>ledger!D343</f>
        <v>46030.588194444441</v>
      </c>
      <c r="G343" s="5">
        <f>ledger!I343</f>
        <v>46030</v>
      </c>
      <c r="H343" s="3">
        <f>ledger!E343</f>
        <v>2999</v>
      </c>
      <c r="I343" s="3" t="str">
        <f>ledger!F343</f>
        <v>UPI</v>
      </c>
      <c r="J343" s="3" t="str">
        <f>ledger!G343</f>
        <v>failed</v>
      </c>
      <c r="K343" s="9">
        <f>HLOOKUP(I343,Fee!$B$1:$E$2,2,FALSE())</f>
        <v>5.0000000000000001E-3</v>
      </c>
      <c r="L343" s="12">
        <f t="shared" si="10"/>
        <v>14.995000000000001</v>
      </c>
      <c r="M343" s="3">
        <f>SUMIFS(ledger!$E$2:$E$548, ledger!$C$2:$C$548, B343, ledger!$I$2:$I$548, G343)</f>
        <v>2999</v>
      </c>
      <c r="N343" s="3" t="str">
        <f t="shared" si="11"/>
        <v>Standard</v>
      </c>
    </row>
    <row r="344" spans="1:14" x14ac:dyDescent="0.3">
      <c r="A344" s="3" t="str">
        <f>ledger!A344</f>
        <v>TXN100342</v>
      </c>
      <c r="B344" s="3">
        <f>ledger!C344</f>
        <v>25</v>
      </c>
      <c r="C344" s="4" t="str">
        <f>IFERROR(VLOOKUP(B344, merchants!$A$2:$D$41, 2, FALSE), "Merchant not found")</f>
        <v>Merchant_025</v>
      </c>
      <c r="D344" s="3" t="str">
        <f>IFERROR(VLOOKUP(B344, merchants!$A$2:$D$41, 3, FALSE), "Merchant not found")</f>
        <v>travel</v>
      </c>
      <c r="E344" s="3" t="str">
        <f>IFERROR(VLOOKUP(B344, merchants!$A$2:$D$41, 4, FALSE), "Merchant not found")</f>
        <v>South</v>
      </c>
      <c r="F344" s="4">
        <f>ledger!D344</f>
        <v>46027.127083333333</v>
      </c>
      <c r="G344" s="5">
        <f>ledger!I344</f>
        <v>46027</v>
      </c>
      <c r="H344" s="3">
        <f>ledger!E344</f>
        <v>1499</v>
      </c>
      <c r="I344" s="3" t="str">
        <f>ledger!F344</f>
        <v>UPI</v>
      </c>
      <c r="J344" s="3" t="str">
        <f>ledger!G344</f>
        <v>captured</v>
      </c>
      <c r="K344" s="9">
        <f>HLOOKUP(I344,Fee!$B$1:$E$2,2,FALSE())</f>
        <v>5.0000000000000001E-3</v>
      </c>
      <c r="L344" s="12">
        <f t="shared" si="10"/>
        <v>7.4950000000000001</v>
      </c>
      <c r="M344" s="3">
        <f>SUMIFS(ledger!$E$2:$E$548, ledger!$C$2:$C$548, B344, ledger!$I$2:$I$548, G344)</f>
        <v>4498</v>
      </c>
      <c r="N344" s="3" t="str">
        <f t="shared" si="11"/>
        <v>Standard</v>
      </c>
    </row>
    <row r="345" spans="1:14" x14ac:dyDescent="0.3">
      <c r="A345" s="3" t="str">
        <f>ledger!A345</f>
        <v>TXN100343</v>
      </c>
      <c r="B345" s="3">
        <f>ledger!C345</f>
        <v>21</v>
      </c>
      <c r="C345" s="4" t="str">
        <f>IFERROR(VLOOKUP(B345, merchants!$A$2:$D$41, 2, FALSE), "Merchant not found")</f>
        <v>Merchant_021</v>
      </c>
      <c r="D345" s="3" t="str">
        <f>IFERROR(VLOOKUP(B345, merchants!$A$2:$D$41, 3, FALSE), "Merchant not found")</f>
        <v>food_delivery</v>
      </c>
      <c r="E345" s="3" t="str">
        <f>IFERROR(VLOOKUP(B345, merchants!$A$2:$D$41, 4, FALSE), "Merchant not found")</f>
        <v>East</v>
      </c>
      <c r="F345" s="4">
        <f>ledger!D345</f>
        <v>46036.329861111109</v>
      </c>
      <c r="G345" s="5">
        <f>ledger!I345</f>
        <v>46036</v>
      </c>
      <c r="H345" s="3">
        <f>ledger!E345</f>
        <v>49</v>
      </c>
      <c r="I345" s="3" t="str">
        <f>ledger!F345</f>
        <v>Wallet</v>
      </c>
      <c r="J345" s="3" t="str">
        <f>ledger!G345</f>
        <v>captured</v>
      </c>
      <c r="K345" s="9">
        <f>HLOOKUP(I345,Fee!$B$1:$E$2,2,FALSE())</f>
        <v>1.4999999999999999E-2</v>
      </c>
      <c r="L345" s="12">
        <f t="shared" si="10"/>
        <v>0.73499999999999999</v>
      </c>
      <c r="M345" s="3">
        <f>SUMIFS(ledger!$E$2:$E$548, ledger!$C$2:$C$548, B345, ledger!$I$2:$I$548, G345)</f>
        <v>49</v>
      </c>
      <c r="N345" s="3" t="str">
        <f t="shared" si="11"/>
        <v>Standard</v>
      </c>
    </row>
    <row r="346" spans="1:14" x14ac:dyDescent="0.3">
      <c r="A346" s="3" t="str">
        <f>ledger!A346</f>
        <v>TXN100344</v>
      </c>
      <c r="B346" s="3">
        <f>ledger!C346</f>
        <v>32</v>
      </c>
      <c r="C346" s="4" t="str">
        <f>IFERROR(VLOOKUP(B346, merchants!$A$2:$D$41, 2, FALSE), "Merchant not found")</f>
        <v>Merchant_032</v>
      </c>
      <c r="D346" s="3" t="str">
        <f>IFERROR(VLOOKUP(B346, merchants!$A$2:$D$41, 3, FALSE), "Merchant not found")</f>
        <v>food_delivery</v>
      </c>
      <c r="E346" s="3" t="str">
        <f>IFERROR(VLOOKUP(B346, merchants!$A$2:$D$41, 4, FALSE), "Merchant not found")</f>
        <v>West</v>
      </c>
      <c r="F346" s="4">
        <f>ledger!D346</f>
        <v>46046.425000000003</v>
      </c>
      <c r="G346" s="5">
        <f>ledger!I346</f>
        <v>46046</v>
      </c>
      <c r="H346" s="3">
        <f>ledger!E346</f>
        <v>49</v>
      </c>
      <c r="I346" s="3" t="str">
        <f>ledger!F346</f>
        <v>UPI</v>
      </c>
      <c r="J346" s="3" t="str">
        <f>ledger!G346</f>
        <v>captured</v>
      </c>
      <c r="K346" s="9">
        <f>HLOOKUP(I346,Fee!$B$1:$E$2,2,FALSE())</f>
        <v>5.0000000000000001E-3</v>
      </c>
      <c r="L346" s="12">
        <f t="shared" si="10"/>
        <v>0.245</v>
      </c>
      <c r="M346" s="3">
        <f>SUMIFS(ledger!$E$2:$E$548, ledger!$C$2:$C$548, B346, ledger!$I$2:$I$548, G346)</f>
        <v>49</v>
      </c>
      <c r="N346" s="3" t="str">
        <f t="shared" si="11"/>
        <v>Standard</v>
      </c>
    </row>
    <row r="347" spans="1:14" x14ac:dyDescent="0.3">
      <c r="A347" s="3" t="str">
        <f>ledger!A347</f>
        <v>TXN100345</v>
      </c>
      <c r="B347" s="3">
        <f>ledger!C347</f>
        <v>32</v>
      </c>
      <c r="C347" s="4" t="str">
        <f>IFERROR(VLOOKUP(B347, merchants!$A$2:$D$41, 2, FALSE), "Merchant not found")</f>
        <v>Merchant_032</v>
      </c>
      <c r="D347" s="3" t="str">
        <f>IFERROR(VLOOKUP(B347, merchants!$A$2:$D$41, 3, FALSE), "Merchant not found")</f>
        <v>food_delivery</v>
      </c>
      <c r="E347" s="3" t="str">
        <f>IFERROR(VLOOKUP(B347, merchants!$A$2:$D$41, 4, FALSE), "Merchant not found")</f>
        <v>West</v>
      </c>
      <c r="F347" s="4">
        <f>ledger!D347</f>
        <v>46037.663888888892</v>
      </c>
      <c r="G347" s="5">
        <f>ledger!I347</f>
        <v>46037</v>
      </c>
      <c r="H347" s="3">
        <f>ledger!E347</f>
        <v>99</v>
      </c>
      <c r="I347" s="3" t="str">
        <f>ledger!F347</f>
        <v>Wallet</v>
      </c>
      <c r="J347" s="3" t="str">
        <f>ledger!G347</f>
        <v>captured</v>
      </c>
      <c r="K347" s="9">
        <f>HLOOKUP(I347,Fee!$B$1:$E$2,2,FALSE())</f>
        <v>1.4999999999999999E-2</v>
      </c>
      <c r="L347" s="12">
        <f t="shared" si="10"/>
        <v>1.4849999999999999</v>
      </c>
      <c r="M347" s="3">
        <f>SUMIFS(ledger!$E$2:$E$548, ledger!$C$2:$C$548, B347, ledger!$I$2:$I$548, G347)</f>
        <v>148</v>
      </c>
      <c r="N347" s="3" t="str">
        <f t="shared" si="11"/>
        <v>Standard</v>
      </c>
    </row>
    <row r="348" spans="1:14" x14ac:dyDescent="0.3">
      <c r="A348" s="3" t="str">
        <f>ledger!A348</f>
        <v>TXN100346</v>
      </c>
      <c r="B348" s="3">
        <f>ledger!C348</f>
        <v>16</v>
      </c>
      <c r="C348" s="4" t="str">
        <f>IFERROR(VLOOKUP(B348, merchants!$A$2:$D$41, 2, FALSE), "Merchant not found")</f>
        <v>Merchant_016</v>
      </c>
      <c r="D348" s="3" t="str">
        <f>IFERROR(VLOOKUP(B348, merchants!$A$2:$D$41, 3, FALSE), "Merchant not found")</f>
        <v>bill_payment</v>
      </c>
      <c r="E348" s="3" t="str">
        <f>IFERROR(VLOOKUP(B348, merchants!$A$2:$D$41, 4, FALSE), "Merchant not found")</f>
        <v>West</v>
      </c>
      <c r="F348" s="4">
        <f>ledger!D348</f>
        <v>46025.522222222222</v>
      </c>
      <c r="G348" s="5">
        <f>ledger!I348</f>
        <v>46025</v>
      </c>
      <c r="H348" s="3">
        <f>ledger!E348</f>
        <v>99</v>
      </c>
      <c r="I348" s="3" t="str">
        <f>ledger!F348</f>
        <v>UPI</v>
      </c>
      <c r="J348" s="3" t="str">
        <f>ledger!G348</f>
        <v>captured</v>
      </c>
      <c r="K348" s="9">
        <f>HLOOKUP(I348,Fee!$B$1:$E$2,2,FALSE())</f>
        <v>5.0000000000000001E-3</v>
      </c>
      <c r="L348" s="12">
        <f t="shared" si="10"/>
        <v>0.495</v>
      </c>
      <c r="M348" s="3">
        <f>SUMIFS(ledger!$E$2:$E$548, ledger!$C$2:$C$548, B348, ledger!$I$2:$I$548, G348)</f>
        <v>99</v>
      </c>
      <c r="N348" s="3" t="str">
        <f t="shared" si="11"/>
        <v>Standard</v>
      </c>
    </row>
    <row r="349" spans="1:14" x14ac:dyDescent="0.3">
      <c r="A349" s="3" t="str">
        <f>ledger!A349</f>
        <v>TXN100347</v>
      </c>
      <c r="B349" s="3">
        <f>ledger!C349</f>
        <v>19</v>
      </c>
      <c r="C349" s="4" t="str">
        <f>IFERROR(VLOOKUP(B349, merchants!$A$2:$D$41, 2, FALSE), "Merchant not found")</f>
        <v>Merchant_019</v>
      </c>
      <c r="D349" s="3" t="str">
        <f>IFERROR(VLOOKUP(B349, merchants!$A$2:$D$41, 3, FALSE), "Merchant not found")</f>
        <v>grocery</v>
      </c>
      <c r="E349" s="3" t="str">
        <f>IFERROR(VLOOKUP(B349, merchants!$A$2:$D$41, 4, FALSE), "Merchant not found")</f>
        <v>North</v>
      </c>
      <c r="F349" s="4">
        <f>ledger!D349</f>
        <v>46041.460416666669</v>
      </c>
      <c r="G349" s="5">
        <f>ledger!I349</f>
        <v>46041</v>
      </c>
      <c r="H349" s="3">
        <f>ledger!E349</f>
        <v>99</v>
      </c>
      <c r="I349" s="3" t="str">
        <f>ledger!F349</f>
        <v>Wallet</v>
      </c>
      <c r="J349" s="3" t="str">
        <f>ledger!G349</f>
        <v>captured</v>
      </c>
      <c r="K349" s="9">
        <f>HLOOKUP(I349,Fee!$B$1:$E$2,2,FALSE())</f>
        <v>1.4999999999999999E-2</v>
      </c>
      <c r="L349" s="12">
        <f t="shared" si="10"/>
        <v>1.4849999999999999</v>
      </c>
      <c r="M349" s="3">
        <f>SUMIFS(ledger!$E$2:$E$548, ledger!$C$2:$C$548, B349, ledger!$I$2:$I$548, G349)</f>
        <v>99</v>
      </c>
      <c r="N349" s="3" t="str">
        <f t="shared" si="11"/>
        <v>Standard</v>
      </c>
    </row>
    <row r="350" spans="1:14" x14ac:dyDescent="0.3">
      <c r="A350" s="3" t="str">
        <f>ledger!A350</f>
        <v>TXN100348</v>
      </c>
      <c r="B350" s="3">
        <f>ledger!C350</f>
        <v>19</v>
      </c>
      <c r="C350" s="4" t="str">
        <f>IFERROR(VLOOKUP(B350, merchants!$A$2:$D$41, 2, FALSE), "Merchant not found")</f>
        <v>Merchant_019</v>
      </c>
      <c r="D350" s="3" t="str">
        <f>IFERROR(VLOOKUP(B350, merchants!$A$2:$D$41, 3, FALSE), "Merchant not found")</f>
        <v>grocery</v>
      </c>
      <c r="E350" s="3" t="str">
        <f>IFERROR(VLOOKUP(B350, merchants!$A$2:$D$41, 4, FALSE), "Merchant not found")</f>
        <v>North</v>
      </c>
      <c r="F350" s="4">
        <f>ledger!D350</f>
        <v>46042.863194444442</v>
      </c>
      <c r="G350" s="5">
        <f>ledger!I350</f>
        <v>46042</v>
      </c>
      <c r="H350" s="3">
        <f>ledger!E350</f>
        <v>299</v>
      </c>
      <c r="I350" s="3" t="str">
        <f>ledger!F350</f>
        <v>UPI</v>
      </c>
      <c r="J350" s="3" t="str">
        <f>ledger!G350</f>
        <v>captured</v>
      </c>
      <c r="K350" s="9">
        <f>HLOOKUP(I350,Fee!$B$1:$E$2,2,FALSE())</f>
        <v>5.0000000000000001E-3</v>
      </c>
      <c r="L350" s="12">
        <f t="shared" si="10"/>
        <v>1.4950000000000001</v>
      </c>
      <c r="M350" s="3">
        <f>SUMIFS(ledger!$E$2:$E$548, ledger!$C$2:$C$548, B350, ledger!$I$2:$I$548, G350)</f>
        <v>348</v>
      </c>
      <c r="N350" s="3" t="str">
        <f t="shared" si="11"/>
        <v>Standard</v>
      </c>
    </row>
    <row r="351" spans="1:14" x14ac:dyDescent="0.3">
      <c r="A351" s="3" t="str">
        <f>ledger!A351</f>
        <v>TXN100349</v>
      </c>
      <c r="B351" s="3">
        <f>ledger!C351</f>
        <v>17</v>
      </c>
      <c r="C351" s="4" t="str">
        <f>IFERROR(VLOOKUP(B351, merchants!$A$2:$D$41, 2, FALSE), "Merchant not found")</f>
        <v>Merchant_017</v>
      </c>
      <c r="D351" s="3" t="str">
        <f>IFERROR(VLOOKUP(B351, merchants!$A$2:$D$41, 3, FALSE), "Merchant not found")</f>
        <v>grocery</v>
      </c>
      <c r="E351" s="3" t="str">
        <f>IFERROR(VLOOKUP(B351, merchants!$A$2:$D$41, 4, FALSE), "Merchant not found")</f>
        <v>North</v>
      </c>
      <c r="F351" s="4">
        <f>ledger!D351</f>
        <v>46023.143750000003</v>
      </c>
      <c r="G351" s="5">
        <f>ledger!I351</f>
        <v>46023</v>
      </c>
      <c r="H351" s="3">
        <f>ledger!E351</f>
        <v>1499</v>
      </c>
      <c r="I351" s="3" t="str">
        <f>ledger!F351</f>
        <v>UPI</v>
      </c>
      <c r="J351" s="3" t="str">
        <f>ledger!G351</f>
        <v>captured</v>
      </c>
      <c r="K351" s="9">
        <f>HLOOKUP(I351,Fee!$B$1:$E$2,2,FALSE())</f>
        <v>5.0000000000000001E-3</v>
      </c>
      <c r="L351" s="12">
        <f t="shared" si="10"/>
        <v>7.4950000000000001</v>
      </c>
      <c r="M351" s="3">
        <f>SUMIFS(ledger!$E$2:$E$548, ledger!$C$2:$C$548, B351, ledger!$I$2:$I$548, G351)</f>
        <v>1499</v>
      </c>
      <c r="N351" s="3" t="str">
        <f t="shared" si="11"/>
        <v>Standard</v>
      </c>
    </row>
    <row r="352" spans="1:14" x14ac:dyDescent="0.3">
      <c r="A352" s="3" t="str">
        <f>ledger!A352</f>
        <v>TXN100350</v>
      </c>
      <c r="B352" s="3">
        <f>ledger!C352</f>
        <v>26</v>
      </c>
      <c r="C352" s="4" t="str">
        <f>IFERROR(VLOOKUP(B352, merchants!$A$2:$D$41, 2, FALSE), "Merchant not found")</f>
        <v>Merchant_026</v>
      </c>
      <c r="D352" s="3" t="str">
        <f>IFERROR(VLOOKUP(B352, merchants!$A$2:$D$41, 3, FALSE), "Merchant not found")</f>
        <v>food_delivery</v>
      </c>
      <c r="E352" s="3" t="str">
        <f>IFERROR(VLOOKUP(B352, merchants!$A$2:$D$41, 4, FALSE), "Merchant not found")</f>
        <v>East</v>
      </c>
      <c r="F352" s="4">
        <f>ledger!D352</f>
        <v>46034.515972222223</v>
      </c>
      <c r="G352" s="5">
        <f>ledger!I352</f>
        <v>46034</v>
      </c>
      <c r="H352" s="3">
        <f>ledger!E352</f>
        <v>299</v>
      </c>
      <c r="I352" s="3" t="str">
        <f>ledger!F352</f>
        <v>Netbanking</v>
      </c>
      <c r="J352" s="3" t="str">
        <f>ledger!G352</f>
        <v>captured</v>
      </c>
      <c r="K352" s="9">
        <f>HLOOKUP(I352,Fee!$B$1:$E$2,2,FALSE())</f>
        <v>1.7999999999999999E-2</v>
      </c>
      <c r="L352" s="12">
        <f t="shared" si="10"/>
        <v>5.3819999999999997</v>
      </c>
      <c r="M352" s="3">
        <f>SUMIFS(ledger!$E$2:$E$548, ledger!$C$2:$C$548, B352, ledger!$I$2:$I$548, G352)</f>
        <v>299</v>
      </c>
      <c r="N352" s="3" t="str">
        <f t="shared" si="11"/>
        <v>Standard</v>
      </c>
    </row>
    <row r="353" spans="1:14" x14ac:dyDescent="0.3">
      <c r="A353" s="3" t="str">
        <f>ledger!A353</f>
        <v>TXN100351</v>
      </c>
      <c r="B353" s="3">
        <f>ledger!C353</f>
        <v>36</v>
      </c>
      <c r="C353" s="4" t="str">
        <f>IFERROR(VLOOKUP(B353, merchants!$A$2:$D$41, 2, FALSE), "Merchant not found")</f>
        <v>Merchant_036</v>
      </c>
      <c r="D353" s="3" t="str">
        <f>IFERROR(VLOOKUP(B353, merchants!$A$2:$D$41, 3, FALSE), "Merchant not found")</f>
        <v>entertainment</v>
      </c>
      <c r="E353" s="3" t="str">
        <f>IFERROR(VLOOKUP(B353, merchants!$A$2:$D$41, 4, FALSE), "Merchant not found")</f>
        <v>East</v>
      </c>
      <c r="F353" s="4">
        <f>ledger!D353</f>
        <v>46041.716666666667</v>
      </c>
      <c r="G353" s="5">
        <f>ledger!I353</f>
        <v>46041</v>
      </c>
      <c r="H353" s="3">
        <f>ledger!E353</f>
        <v>4999</v>
      </c>
      <c r="I353" s="3" t="str">
        <f>ledger!F353</f>
        <v>UPI</v>
      </c>
      <c r="J353" s="3" t="str">
        <f>ledger!G353</f>
        <v>captured</v>
      </c>
      <c r="K353" s="9">
        <f>HLOOKUP(I353,Fee!$B$1:$E$2,2,FALSE())</f>
        <v>5.0000000000000001E-3</v>
      </c>
      <c r="L353" s="12">
        <f t="shared" si="10"/>
        <v>24.995000000000001</v>
      </c>
      <c r="M353" s="3">
        <f>SUMIFS(ledger!$E$2:$E$548, ledger!$C$2:$C$548, B353, ledger!$I$2:$I$548, G353)</f>
        <v>4999</v>
      </c>
      <c r="N353" s="3" t="str">
        <f t="shared" si="11"/>
        <v>Standard</v>
      </c>
    </row>
    <row r="354" spans="1:14" x14ac:dyDescent="0.3">
      <c r="A354" s="3" t="str">
        <f>ledger!A354</f>
        <v>TXN100352</v>
      </c>
      <c r="B354" s="3">
        <f>ledger!C354</f>
        <v>36</v>
      </c>
      <c r="C354" s="4" t="str">
        <f>IFERROR(VLOOKUP(B354, merchants!$A$2:$D$41, 2, FALSE), "Merchant not found")</f>
        <v>Merchant_036</v>
      </c>
      <c r="D354" s="3" t="str">
        <f>IFERROR(VLOOKUP(B354, merchants!$A$2:$D$41, 3, FALSE), "Merchant not found")</f>
        <v>entertainment</v>
      </c>
      <c r="E354" s="3" t="str">
        <f>IFERROR(VLOOKUP(B354, merchants!$A$2:$D$41, 4, FALSE), "Merchant not found")</f>
        <v>East</v>
      </c>
      <c r="F354" s="4">
        <f>ledger!D354</f>
        <v>46025.522222222222</v>
      </c>
      <c r="G354" s="5">
        <f>ledger!I354</f>
        <v>46025</v>
      </c>
      <c r="H354" s="3">
        <f>ledger!E354</f>
        <v>149</v>
      </c>
      <c r="I354" s="3" t="str">
        <f>ledger!F354</f>
        <v>UPI</v>
      </c>
      <c r="J354" s="3" t="str">
        <f>ledger!G354</f>
        <v>captured</v>
      </c>
      <c r="K354" s="9">
        <f>HLOOKUP(I354,Fee!$B$1:$E$2,2,FALSE())</f>
        <v>5.0000000000000001E-3</v>
      </c>
      <c r="L354" s="12">
        <f t="shared" si="10"/>
        <v>0.745</v>
      </c>
      <c r="M354" s="3">
        <f>SUMIFS(ledger!$E$2:$E$548, ledger!$C$2:$C$548, B354, ledger!$I$2:$I$548, G354)</f>
        <v>248</v>
      </c>
      <c r="N354" s="3" t="str">
        <f t="shared" si="11"/>
        <v>Standard</v>
      </c>
    </row>
    <row r="355" spans="1:14" x14ac:dyDescent="0.3">
      <c r="A355" s="3" t="str">
        <f>ledger!A355</f>
        <v>TXN100353</v>
      </c>
      <c r="B355" s="3">
        <f>ledger!C355</f>
        <v>8</v>
      </c>
      <c r="C355" s="4" t="str">
        <f>IFERROR(VLOOKUP(B355, merchants!$A$2:$D$41, 2, FALSE), "Merchant not found")</f>
        <v>Merchant_008</v>
      </c>
      <c r="D355" s="3" t="str">
        <f>IFERROR(VLOOKUP(B355, merchants!$A$2:$D$41, 3, FALSE), "Merchant not found")</f>
        <v>food_delivery</v>
      </c>
      <c r="E355" s="3" t="str">
        <f>IFERROR(VLOOKUP(B355, merchants!$A$2:$D$41, 4, FALSE), "Merchant not found")</f>
        <v>North</v>
      </c>
      <c r="F355" s="4">
        <f>ledger!D355</f>
        <v>46049.821527777778</v>
      </c>
      <c r="G355" s="5">
        <f>ledger!I355</f>
        <v>46049</v>
      </c>
      <c r="H355" s="3">
        <f>ledger!E355</f>
        <v>1499</v>
      </c>
      <c r="I355" s="3" t="str">
        <f>ledger!F355</f>
        <v>Netbanking</v>
      </c>
      <c r="J355" s="3" t="str">
        <f>ledger!G355</f>
        <v>captured</v>
      </c>
      <c r="K355" s="9">
        <f>HLOOKUP(I355,Fee!$B$1:$E$2,2,FALSE())</f>
        <v>1.7999999999999999E-2</v>
      </c>
      <c r="L355" s="12">
        <f t="shared" si="10"/>
        <v>26.981999999999999</v>
      </c>
      <c r="M355" s="3">
        <f>SUMIFS(ledger!$E$2:$E$548, ledger!$C$2:$C$548, B355, ledger!$I$2:$I$548, G355)</f>
        <v>1499</v>
      </c>
      <c r="N355" s="3" t="str">
        <f t="shared" si="11"/>
        <v>Standard</v>
      </c>
    </row>
    <row r="356" spans="1:14" x14ac:dyDescent="0.3">
      <c r="A356" s="3" t="str">
        <f>ledger!A356</f>
        <v>TXN100354</v>
      </c>
      <c r="B356" s="3">
        <f>ledger!C356</f>
        <v>36</v>
      </c>
      <c r="C356" s="4" t="str">
        <f>IFERROR(VLOOKUP(B356, merchants!$A$2:$D$41, 2, FALSE), "Merchant not found")</f>
        <v>Merchant_036</v>
      </c>
      <c r="D356" s="3" t="str">
        <f>IFERROR(VLOOKUP(B356, merchants!$A$2:$D$41, 3, FALSE), "Merchant not found")</f>
        <v>entertainment</v>
      </c>
      <c r="E356" s="3" t="str">
        <f>IFERROR(VLOOKUP(B356, merchants!$A$2:$D$41, 4, FALSE), "Merchant not found")</f>
        <v>East</v>
      </c>
      <c r="F356" s="4">
        <f>ledger!D356</f>
        <v>46026.515972222223</v>
      </c>
      <c r="G356" s="5">
        <f>ledger!I356</f>
        <v>46026</v>
      </c>
      <c r="H356" s="3">
        <f>ledger!E356</f>
        <v>149</v>
      </c>
      <c r="I356" s="3" t="str">
        <f>ledger!F356</f>
        <v>UPI</v>
      </c>
      <c r="J356" s="3" t="str">
        <f>ledger!G356</f>
        <v>captured</v>
      </c>
      <c r="K356" s="9">
        <f>HLOOKUP(I356,Fee!$B$1:$E$2,2,FALSE())</f>
        <v>5.0000000000000001E-3</v>
      </c>
      <c r="L356" s="12">
        <f t="shared" si="10"/>
        <v>0.745</v>
      </c>
      <c r="M356" s="3">
        <f>SUMIFS(ledger!$E$2:$E$548, ledger!$C$2:$C$548, B356, ledger!$I$2:$I$548, G356)</f>
        <v>149</v>
      </c>
      <c r="N356" s="3" t="str">
        <f t="shared" si="11"/>
        <v>Standard</v>
      </c>
    </row>
    <row r="357" spans="1:14" x14ac:dyDescent="0.3">
      <c r="A357" s="3" t="str">
        <f>ledger!A357</f>
        <v>TXN100355</v>
      </c>
      <c r="B357" s="3">
        <f>ledger!C357</f>
        <v>33</v>
      </c>
      <c r="C357" s="4" t="str">
        <f>IFERROR(VLOOKUP(B357, merchants!$A$2:$D$41, 2, FALSE), "Merchant not found")</f>
        <v>Merchant_033</v>
      </c>
      <c r="D357" s="3" t="str">
        <f>IFERROR(VLOOKUP(B357, merchants!$A$2:$D$41, 3, FALSE), "Merchant not found")</f>
        <v>bill_payment</v>
      </c>
      <c r="E357" s="3" t="str">
        <f>IFERROR(VLOOKUP(B357, merchants!$A$2:$D$41, 4, FALSE), "Merchant not found")</f>
        <v>East</v>
      </c>
      <c r="F357" s="4">
        <f>ledger!D357</f>
        <v>46047.175000000003</v>
      </c>
      <c r="G357" s="5">
        <f>ledger!I357</f>
        <v>46047</v>
      </c>
      <c r="H357" s="3">
        <f>ledger!E357</f>
        <v>99</v>
      </c>
      <c r="I357" s="3" t="str">
        <f>ledger!F357</f>
        <v>UPI</v>
      </c>
      <c r="J357" s="3" t="str">
        <f>ledger!G357</f>
        <v>captured</v>
      </c>
      <c r="K357" s="9">
        <f>HLOOKUP(I357,Fee!$B$1:$E$2,2,FALSE())</f>
        <v>5.0000000000000001E-3</v>
      </c>
      <c r="L357" s="12">
        <f t="shared" si="10"/>
        <v>0.495</v>
      </c>
      <c r="M357" s="3">
        <f>SUMIFS(ledger!$E$2:$E$548, ledger!$C$2:$C$548, B357, ledger!$I$2:$I$548, G357)</f>
        <v>99</v>
      </c>
      <c r="N357" s="3" t="str">
        <f t="shared" si="11"/>
        <v>Standard</v>
      </c>
    </row>
    <row r="358" spans="1:14" x14ac:dyDescent="0.3">
      <c r="A358" s="3" t="str">
        <f>ledger!A358</f>
        <v>TXN100356</v>
      </c>
      <c r="B358" s="3">
        <f>ledger!C358</f>
        <v>9</v>
      </c>
      <c r="C358" s="4" t="str">
        <f>IFERROR(VLOOKUP(B358, merchants!$A$2:$D$41, 2, FALSE), "Merchant not found")</f>
        <v>Merchant_009</v>
      </c>
      <c r="D358" s="3" t="str">
        <f>IFERROR(VLOOKUP(B358, merchants!$A$2:$D$41, 3, FALSE), "Merchant not found")</f>
        <v>ecommerce</v>
      </c>
      <c r="E358" s="3" t="str">
        <f>IFERROR(VLOOKUP(B358, merchants!$A$2:$D$41, 4, FALSE), "Merchant not found")</f>
        <v>North</v>
      </c>
      <c r="F358" s="4">
        <f>ledger!D358</f>
        <v>46039.043055555558</v>
      </c>
      <c r="G358" s="5">
        <f>ledger!I358</f>
        <v>46039</v>
      </c>
      <c r="H358" s="3">
        <f>ledger!E358</f>
        <v>99</v>
      </c>
      <c r="I358" s="3" t="str">
        <f>ledger!F358</f>
        <v>UPI</v>
      </c>
      <c r="J358" s="3" t="str">
        <f>ledger!G358</f>
        <v>captured</v>
      </c>
      <c r="K358" s="9">
        <f>HLOOKUP(I358,Fee!$B$1:$E$2,2,FALSE())</f>
        <v>5.0000000000000001E-3</v>
      </c>
      <c r="L358" s="12">
        <f t="shared" si="10"/>
        <v>0.495</v>
      </c>
      <c r="M358" s="3">
        <f>SUMIFS(ledger!$E$2:$E$548, ledger!$C$2:$C$548, B358, ledger!$I$2:$I$548, G358)</f>
        <v>248</v>
      </c>
      <c r="N358" s="3" t="str">
        <f t="shared" si="11"/>
        <v>Standard</v>
      </c>
    </row>
    <row r="359" spans="1:14" x14ac:dyDescent="0.3">
      <c r="A359" s="3" t="str">
        <f>ledger!A359</f>
        <v>TXN100357</v>
      </c>
      <c r="B359" s="3">
        <f>ledger!C359</f>
        <v>10</v>
      </c>
      <c r="C359" s="4" t="str">
        <f>IFERROR(VLOOKUP(B359, merchants!$A$2:$D$41, 2, FALSE), "Merchant not found")</f>
        <v>Merchant_010</v>
      </c>
      <c r="D359" s="3" t="str">
        <f>IFERROR(VLOOKUP(B359, merchants!$A$2:$D$41, 3, FALSE), "Merchant not found")</f>
        <v>grocery</v>
      </c>
      <c r="E359" s="3" t="str">
        <f>IFERROR(VLOOKUP(B359, merchants!$A$2:$D$41, 4, FALSE), "Merchant not found")</f>
        <v>West</v>
      </c>
      <c r="F359" s="4">
        <f>ledger!D359</f>
        <v>46033.647916666669</v>
      </c>
      <c r="G359" s="5">
        <f>ledger!I359</f>
        <v>46033</v>
      </c>
      <c r="H359" s="3">
        <f>ledger!E359</f>
        <v>49</v>
      </c>
      <c r="I359" s="3" t="str">
        <f>ledger!F359</f>
        <v>UPI</v>
      </c>
      <c r="J359" s="3" t="str">
        <f>ledger!G359</f>
        <v>captured</v>
      </c>
      <c r="K359" s="9">
        <f>HLOOKUP(I359,Fee!$B$1:$E$2,2,FALSE())</f>
        <v>5.0000000000000001E-3</v>
      </c>
      <c r="L359" s="12">
        <f t="shared" si="10"/>
        <v>0.245</v>
      </c>
      <c r="M359" s="3">
        <f>SUMIFS(ledger!$E$2:$E$548, ledger!$C$2:$C$548, B359, ledger!$I$2:$I$548, G359)</f>
        <v>98</v>
      </c>
      <c r="N359" s="3" t="str">
        <f t="shared" si="11"/>
        <v>Standard</v>
      </c>
    </row>
    <row r="360" spans="1:14" x14ac:dyDescent="0.3">
      <c r="A360" s="3" t="str">
        <f>ledger!A360</f>
        <v>TXN100358</v>
      </c>
      <c r="B360" s="3">
        <f>ledger!C360</f>
        <v>40</v>
      </c>
      <c r="C360" s="4" t="str">
        <f>IFERROR(VLOOKUP(B360, merchants!$A$2:$D$41, 2, FALSE), "Merchant not found")</f>
        <v>Merchant_040</v>
      </c>
      <c r="D360" s="3" t="str">
        <f>IFERROR(VLOOKUP(B360, merchants!$A$2:$D$41, 3, FALSE), "Merchant not found")</f>
        <v>entertainment</v>
      </c>
      <c r="E360" s="3" t="str">
        <f>IFERROR(VLOOKUP(B360, merchants!$A$2:$D$41, 4, FALSE), "Merchant not found")</f>
        <v>South</v>
      </c>
      <c r="F360" s="4">
        <f>ledger!D360</f>
        <v>46051.672222222223</v>
      </c>
      <c r="G360" s="5">
        <f>ledger!I360</f>
        <v>46051</v>
      </c>
      <c r="H360" s="3">
        <f>ledger!E360</f>
        <v>149</v>
      </c>
      <c r="I360" s="3" t="str">
        <f>ledger!F360</f>
        <v>UPI</v>
      </c>
      <c r="J360" s="3" t="str">
        <f>ledger!G360</f>
        <v>chargeback</v>
      </c>
      <c r="K360" s="9">
        <f>HLOOKUP(I360,Fee!$B$1:$E$2,2,FALSE())</f>
        <v>5.0000000000000001E-3</v>
      </c>
      <c r="L360" s="12">
        <f t="shared" si="10"/>
        <v>0.745</v>
      </c>
      <c r="M360" s="3">
        <f>SUMIFS(ledger!$E$2:$E$548, ledger!$C$2:$C$548, B360, ledger!$I$2:$I$548, G360)</f>
        <v>149</v>
      </c>
      <c r="N360" s="3" t="str">
        <f t="shared" si="11"/>
        <v>Standard</v>
      </c>
    </row>
    <row r="361" spans="1:14" x14ac:dyDescent="0.3">
      <c r="A361" s="3" t="str">
        <f>ledger!A361</f>
        <v>TXN100359</v>
      </c>
      <c r="B361" s="3">
        <f>ledger!C361</f>
        <v>38</v>
      </c>
      <c r="C361" s="4" t="str">
        <f>IFERROR(VLOOKUP(B361, merchants!$A$2:$D$41, 2, FALSE), "Merchant not found")</f>
        <v>Merchant_038</v>
      </c>
      <c r="D361" s="3" t="str">
        <f>IFERROR(VLOOKUP(B361, merchants!$A$2:$D$41, 3, FALSE), "Merchant not found")</f>
        <v>grocery</v>
      </c>
      <c r="E361" s="3" t="str">
        <f>IFERROR(VLOOKUP(B361, merchants!$A$2:$D$41, 4, FALSE), "Merchant not found")</f>
        <v>East</v>
      </c>
      <c r="F361" s="4">
        <f>ledger!D361</f>
        <v>46028.527083333334</v>
      </c>
      <c r="G361" s="5">
        <f>ledger!I361</f>
        <v>46028</v>
      </c>
      <c r="H361" s="3">
        <f>ledger!E361</f>
        <v>99</v>
      </c>
      <c r="I361" s="3" t="str">
        <f>ledger!F361</f>
        <v>Netbanking</v>
      </c>
      <c r="J361" s="3" t="str">
        <f>ledger!G361</f>
        <v>captured</v>
      </c>
      <c r="K361" s="9">
        <f>HLOOKUP(I361,Fee!$B$1:$E$2,2,FALSE())</f>
        <v>1.7999999999999999E-2</v>
      </c>
      <c r="L361" s="12">
        <f t="shared" si="10"/>
        <v>1.7819999999999998</v>
      </c>
      <c r="M361" s="3">
        <f>SUMIFS(ledger!$E$2:$E$548, ledger!$C$2:$C$548, B361, ledger!$I$2:$I$548, G361)</f>
        <v>99</v>
      </c>
      <c r="N361" s="3" t="str">
        <f t="shared" si="11"/>
        <v>Standard</v>
      </c>
    </row>
    <row r="362" spans="1:14" x14ac:dyDescent="0.3">
      <c r="A362" s="3" t="str">
        <f>ledger!A362</f>
        <v>TXN100360</v>
      </c>
      <c r="B362" s="3">
        <f>ledger!C362</f>
        <v>37</v>
      </c>
      <c r="C362" s="4" t="str">
        <f>IFERROR(VLOOKUP(B362, merchants!$A$2:$D$41, 2, FALSE), "Merchant not found")</f>
        <v>Merchant_037</v>
      </c>
      <c r="D362" s="3" t="str">
        <f>IFERROR(VLOOKUP(B362, merchants!$A$2:$D$41, 3, FALSE), "Merchant not found")</f>
        <v>entertainment</v>
      </c>
      <c r="E362" s="3" t="str">
        <f>IFERROR(VLOOKUP(B362, merchants!$A$2:$D$41, 4, FALSE), "Merchant not found")</f>
        <v>South</v>
      </c>
      <c r="F362" s="4">
        <f>ledger!D362</f>
        <v>46039.69027777778</v>
      </c>
      <c r="G362" s="5">
        <f>ledger!I362</f>
        <v>46039</v>
      </c>
      <c r="H362" s="3">
        <f>ledger!E362</f>
        <v>49</v>
      </c>
      <c r="I362" s="3" t="str">
        <f>ledger!F362</f>
        <v>UPI</v>
      </c>
      <c r="J362" s="3" t="str">
        <f>ledger!G362</f>
        <v>captured</v>
      </c>
      <c r="K362" s="9">
        <f>HLOOKUP(I362,Fee!$B$1:$E$2,2,FALSE())</f>
        <v>5.0000000000000001E-3</v>
      </c>
      <c r="L362" s="12">
        <f t="shared" si="10"/>
        <v>0.245</v>
      </c>
      <c r="M362" s="3">
        <f>SUMIFS(ledger!$E$2:$E$548, ledger!$C$2:$C$548, B362, ledger!$I$2:$I$548, G362)</f>
        <v>49</v>
      </c>
      <c r="N362" s="3" t="str">
        <f t="shared" si="11"/>
        <v>Standard</v>
      </c>
    </row>
    <row r="363" spans="1:14" x14ac:dyDescent="0.3">
      <c r="A363" s="3" t="str">
        <f>ledger!A363</f>
        <v>TXN100361</v>
      </c>
      <c r="B363" s="3">
        <f>ledger!C363</f>
        <v>8</v>
      </c>
      <c r="C363" s="4" t="str">
        <f>IFERROR(VLOOKUP(B363, merchants!$A$2:$D$41, 2, FALSE), "Merchant not found")</f>
        <v>Merchant_008</v>
      </c>
      <c r="D363" s="3" t="str">
        <f>IFERROR(VLOOKUP(B363, merchants!$A$2:$D$41, 3, FALSE), "Merchant not found")</f>
        <v>food_delivery</v>
      </c>
      <c r="E363" s="3" t="str">
        <f>IFERROR(VLOOKUP(B363, merchants!$A$2:$D$41, 4, FALSE), "Merchant not found")</f>
        <v>North</v>
      </c>
      <c r="F363" s="4">
        <f>ledger!D363</f>
        <v>46038.015972222223</v>
      </c>
      <c r="G363" s="5">
        <f>ledger!I363</f>
        <v>46038</v>
      </c>
      <c r="H363" s="3">
        <f>ledger!E363</f>
        <v>2999</v>
      </c>
      <c r="I363" s="3" t="str">
        <f>ledger!F363</f>
        <v>UPI</v>
      </c>
      <c r="J363" s="3" t="str">
        <f>ledger!G363</f>
        <v>captured</v>
      </c>
      <c r="K363" s="9">
        <f>HLOOKUP(I363,Fee!$B$1:$E$2,2,FALSE())</f>
        <v>5.0000000000000001E-3</v>
      </c>
      <c r="L363" s="12">
        <f t="shared" si="10"/>
        <v>14.995000000000001</v>
      </c>
      <c r="M363" s="3">
        <f>SUMIFS(ledger!$E$2:$E$548, ledger!$C$2:$C$548, B363, ledger!$I$2:$I$548, G363)</f>
        <v>2999</v>
      </c>
      <c r="N363" s="3" t="str">
        <f t="shared" si="11"/>
        <v>Standard</v>
      </c>
    </row>
    <row r="364" spans="1:14" x14ac:dyDescent="0.3">
      <c r="A364" s="3" t="str">
        <f>ledger!A364</f>
        <v>TXN100362</v>
      </c>
      <c r="B364" s="3">
        <f>ledger!C364</f>
        <v>2</v>
      </c>
      <c r="C364" s="4" t="str">
        <f>IFERROR(VLOOKUP(B364, merchants!$A$2:$D$41, 2, FALSE), "Merchant not found")</f>
        <v>Merchant_002</v>
      </c>
      <c r="D364" s="3" t="str">
        <f>IFERROR(VLOOKUP(B364, merchants!$A$2:$D$41, 3, FALSE), "Merchant not found")</f>
        <v>grocery</v>
      </c>
      <c r="E364" s="3" t="str">
        <f>IFERROR(VLOOKUP(B364, merchants!$A$2:$D$41, 4, FALSE), "Merchant not found")</f>
        <v>West</v>
      </c>
      <c r="F364" s="4">
        <f>ledger!D364</f>
        <v>46041.409722222219</v>
      </c>
      <c r="G364" s="5">
        <f>ledger!I364</f>
        <v>46041</v>
      </c>
      <c r="H364" s="3">
        <f>ledger!E364</f>
        <v>49</v>
      </c>
      <c r="I364" s="3" t="str">
        <f>ledger!F364</f>
        <v>Netbanking</v>
      </c>
      <c r="J364" s="3" t="str">
        <f>ledger!G364</f>
        <v>captured</v>
      </c>
      <c r="K364" s="9">
        <f>HLOOKUP(I364,Fee!$B$1:$E$2,2,FALSE())</f>
        <v>1.7999999999999999E-2</v>
      </c>
      <c r="L364" s="12">
        <f t="shared" si="10"/>
        <v>0.8819999999999999</v>
      </c>
      <c r="M364" s="3">
        <f>SUMIFS(ledger!$E$2:$E$548, ledger!$C$2:$C$548, B364, ledger!$I$2:$I$548, G364)</f>
        <v>49</v>
      </c>
      <c r="N364" s="3" t="str">
        <f t="shared" si="11"/>
        <v>Standard</v>
      </c>
    </row>
    <row r="365" spans="1:14" x14ac:dyDescent="0.3">
      <c r="A365" s="3" t="str">
        <f>ledger!A365</f>
        <v>TXN100363</v>
      </c>
      <c r="B365" s="3">
        <f>ledger!C365</f>
        <v>37</v>
      </c>
      <c r="C365" s="4" t="str">
        <f>IFERROR(VLOOKUP(B365, merchants!$A$2:$D$41, 2, FALSE), "Merchant not found")</f>
        <v>Merchant_037</v>
      </c>
      <c r="D365" s="3" t="str">
        <f>IFERROR(VLOOKUP(B365, merchants!$A$2:$D$41, 3, FALSE), "Merchant not found")</f>
        <v>entertainment</v>
      </c>
      <c r="E365" s="3" t="str">
        <f>IFERROR(VLOOKUP(B365, merchants!$A$2:$D$41, 4, FALSE), "Merchant not found")</f>
        <v>South</v>
      </c>
      <c r="F365" s="4">
        <f>ledger!D365</f>
        <v>46038.361805555556</v>
      </c>
      <c r="G365" s="5">
        <f>ledger!I365</f>
        <v>46038</v>
      </c>
      <c r="H365" s="3">
        <f>ledger!E365</f>
        <v>2999</v>
      </c>
      <c r="I365" s="3" t="str">
        <f>ledger!F365</f>
        <v>Wallet</v>
      </c>
      <c r="J365" s="3" t="str">
        <f>ledger!G365</f>
        <v>captured</v>
      </c>
      <c r="K365" s="9">
        <f>HLOOKUP(I365,Fee!$B$1:$E$2,2,FALSE())</f>
        <v>1.4999999999999999E-2</v>
      </c>
      <c r="L365" s="12">
        <f t="shared" si="10"/>
        <v>44.984999999999999</v>
      </c>
      <c r="M365" s="3">
        <f>SUMIFS(ledger!$E$2:$E$548, ledger!$C$2:$C$548, B365, ledger!$I$2:$I$548, G365)</f>
        <v>2999</v>
      </c>
      <c r="N365" s="3" t="str">
        <f t="shared" si="11"/>
        <v>Standard</v>
      </c>
    </row>
    <row r="366" spans="1:14" x14ac:dyDescent="0.3">
      <c r="A366" s="3" t="str">
        <f>ledger!A366</f>
        <v>TXN100364</v>
      </c>
      <c r="B366" s="3">
        <f>ledger!C366</f>
        <v>11</v>
      </c>
      <c r="C366" s="4" t="str">
        <f>IFERROR(VLOOKUP(B366, merchants!$A$2:$D$41, 2, FALSE), "Merchant not found")</f>
        <v>Merchant_011</v>
      </c>
      <c r="D366" s="3" t="str">
        <f>IFERROR(VLOOKUP(B366, merchants!$A$2:$D$41, 3, FALSE), "Merchant not found")</f>
        <v>ecommerce</v>
      </c>
      <c r="E366" s="3" t="str">
        <f>IFERROR(VLOOKUP(B366, merchants!$A$2:$D$41, 4, FALSE), "Merchant not found")</f>
        <v>North</v>
      </c>
      <c r="F366" s="4">
        <f>ledger!D366</f>
        <v>46046.067361111112</v>
      </c>
      <c r="G366" s="5">
        <f>ledger!I366</f>
        <v>46046</v>
      </c>
      <c r="H366" s="3">
        <f>ledger!E366</f>
        <v>299</v>
      </c>
      <c r="I366" s="3" t="str">
        <f>ledger!F366</f>
        <v>UPI</v>
      </c>
      <c r="J366" s="3" t="str">
        <f>ledger!G366</f>
        <v>captured</v>
      </c>
      <c r="K366" s="9">
        <f>HLOOKUP(I366,Fee!$B$1:$E$2,2,FALSE())</f>
        <v>5.0000000000000001E-3</v>
      </c>
      <c r="L366" s="12">
        <f t="shared" si="10"/>
        <v>1.4950000000000001</v>
      </c>
      <c r="M366" s="3">
        <f>SUMIFS(ledger!$E$2:$E$548, ledger!$C$2:$C$548, B366, ledger!$I$2:$I$548, G366)</f>
        <v>1798</v>
      </c>
      <c r="N366" s="3" t="str">
        <f t="shared" si="11"/>
        <v>Standard</v>
      </c>
    </row>
    <row r="367" spans="1:14" x14ac:dyDescent="0.3">
      <c r="A367" s="3" t="str">
        <f>ledger!A367</f>
        <v>TXN100365</v>
      </c>
      <c r="B367" s="3">
        <f>ledger!C367</f>
        <v>10</v>
      </c>
      <c r="C367" s="4" t="str">
        <f>IFERROR(VLOOKUP(B367, merchants!$A$2:$D$41, 2, FALSE), "Merchant not found")</f>
        <v>Merchant_010</v>
      </c>
      <c r="D367" s="3" t="str">
        <f>IFERROR(VLOOKUP(B367, merchants!$A$2:$D$41, 3, FALSE), "Merchant not found")</f>
        <v>grocery</v>
      </c>
      <c r="E367" s="3" t="str">
        <f>IFERROR(VLOOKUP(B367, merchants!$A$2:$D$41, 4, FALSE), "Merchant not found")</f>
        <v>West</v>
      </c>
      <c r="F367" s="4">
        <f>ledger!D367</f>
        <v>46043.98541666667</v>
      </c>
      <c r="G367" s="5">
        <f>ledger!I367</f>
        <v>46043</v>
      </c>
      <c r="H367" s="3">
        <f>ledger!E367</f>
        <v>99</v>
      </c>
      <c r="I367" s="3" t="str">
        <f>ledger!F367</f>
        <v>UPI</v>
      </c>
      <c r="J367" s="3" t="str">
        <f>ledger!G367</f>
        <v>captured</v>
      </c>
      <c r="K367" s="9">
        <f>HLOOKUP(I367,Fee!$B$1:$E$2,2,FALSE())</f>
        <v>5.0000000000000001E-3</v>
      </c>
      <c r="L367" s="12">
        <f t="shared" si="10"/>
        <v>0.495</v>
      </c>
      <c r="M367" s="3">
        <f>SUMIFS(ledger!$E$2:$E$548, ledger!$C$2:$C$548, B367, ledger!$I$2:$I$548, G367)</f>
        <v>398</v>
      </c>
      <c r="N367" s="3" t="str">
        <f t="shared" si="11"/>
        <v>Standard</v>
      </c>
    </row>
    <row r="368" spans="1:14" x14ac:dyDescent="0.3">
      <c r="A368" s="3" t="str">
        <f>ledger!A368</f>
        <v>TXN100366</v>
      </c>
      <c r="B368" s="3">
        <f>ledger!C368</f>
        <v>13</v>
      </c>
      <c r="C368" s="4" t="str">
        <f>IFERROR(VLOOKUP(B368, merchants!$A$2:$D$41, 2, FALSE), "Merchant not found")</f>
        <v>Merchant_013</v>
      </c>
      <c r="D368" s="3" t="str">
        <f>IFERROR(VLOOKUP(B368, merchants!$A$2:$D$41, 3, FALSE), "Merchant not found")</f>
        <v>travel</v>
      </c>
      <c r="E368" s="3" t="str">
        <f>IFERROR(VLOOKUP(B368, merchants!$A$2:$D$41, 4, FALSE), "Merchant not found")</f>
        <v>East</v>
      </c>
      <c r="F368" s="4">
        <f>ledger!D368</f>
        <v>46030.066666666666</v>
      </c>
      <c r="G368" s="5">
        <f>ledger!I368</f>
        <v>46030</v>
      </c>
      <c r="H368" s="3">
        <f>ledger!E368</f>
        <v>149</v>
      </c>
      <c r="I368" s="3" t="str">
        <f>ledger!F368</f>
        <v>UPI</v>
      </c>
      <c r="J368" s="3" t="str">
        <f>ledger!G368</f>
        <v>captured</v>
      </c>
      <c r="K368" s="9">
        <f>HLOOKUP(I368,Fee!$B$1:$E$2,2,FALSE())</f>
        <v>5.0000000000000001E-3</v>
      </c>
      <c r="L368" s="12">
        <f t="shared" si="10"/>
        <v>0.745</v>
      </c>
      <c r="M368" s="3">
        <f>SUMIFS(ledger!$E$2:$E$548, ledger!$C$2:$C$548, B368, ledger!$I$2:$I$548, G368)</f>
        <v>149</v>
      </c>
      <c r="N368" s="3" t="str">
        <f t="shared" si="11"/>
        <v>Standard</v>
      </c>
    </row>
    <row r="369" spans="1:14" x14ac:dyDescent="0.3">
      <c r="A369" s="3" t="str">
        <f>ledger!A369</f>
        <v>TXN100367</v>
      </c>
      <c r="B369" s="3">
        <f>ledger!C369</f>
        <v>27</v>
      </c>
      <c r="C369" s="4" t="str">
        <f>IFERROR(VLOOKUP(B369, merchants!$A$2:$D$41, 2, FALSE), "Merchant not found")</f>
        <v>Merchant_027</v>
      </c>
      <c r="D369" s="3" t="str">
        <f>IFERROR(VLOOKUP(B369, merchants!$A$2:$D$41, 3, FALSE), "Merchant not found")</f>
        <v>ecommerce</v>
      </c>
      <c r="E369" s="3" t="str">
        <f>IFERROR(VLOOKUP(B369, merchants!$A$2:$D$41, 4, FALSE), "Merchant not found")</f>
        <v>North</v>
      </c>
      <c r="F369" s="4">
        <f>ledger!D369</f>
        <v>46037.43472222222</v>
      </c>
      <c r="G369" s="5">
        <f>ledger!I369</f>
        <v>46037</v>
      </c>
      <c r="H369" s="3">
        <f>ledger!E369</f>
        <v>1499</v>
      </c>
      <c r="I369" s="3" t="str">
        <f>ledger!F369</f>
        <v>Netbanking</v>
      </c>
      <c r="J369" s="3" t="str">
        <f>ledger!G369</f>
        <v>failed</v>
      </c>
      <c r="K369" s="9">
        <f>HLOOKUP(I369,Fee!$B$1:$E$2,2,FALSE())</f>
        <v>1.7999999999999999E-2</v>
      </c>
      <c r="L369" s="12">
        <f t="shared" si="10"/>
        <v>26.981999999999999</v>
      </c>
      <c r="M369" s="3">
        <f>SUMIFS(ledger!$E$2:$E$548, ledger!$C$2:$C$548, B369, ledger!$I$2:$I$548, G369)</f>
        <v>1499</v>
      </c>
      <c r="N369" s="3" t="str">
        <f t="shared" si="11"/>
        <v>Standard</v>
      </c>
    </row>
    <row r="370" spans="1:14" x14ac:dyDescent="0.3">
      <c r="A370" s="3" t="str">
        <f>ledger!A370</f>
        <v>TXN100368</v>
      </c>
      <c r="B370" s="3">
        <f>ledger!C370</f>
        <v>31</v>
      </c>
      <c r="C370" s="4" t="str">
        <f>IFERROR(VLOOKUP(B370, merchants!$A$2:$D$41, 2, FALSE), "Merchant not found")</f>
        <v>Merchant_031</v>
      </c>
      <c r="D370" s="3" t="str">
        <f>IFERROR(VLOOKUP(B370, merchants!$A$2:$D$41, 3, FALSE), "Merchant not found")</f>
        <v>bill_payment</v>
      </c>
      <c r="E370" s="3" t="str">
        <f>IFERROR(VLOOKUP(B370, merchants!$A$2:$D$41, 4, FALSE), "Merchant not found")</f>
        <v>East</v>
      </c>
      <c r="F370" s="4">
        <f>ledger!D370</f>
        <v>46029.563888888886</v>
      </c>
      <c r="G370" s="5">
        <f>ledger!I370</f>
        <v>46029</v>
      </c>
      <c r="H370" s="3">
        <f>ledger!E370</f>
        <v>49</v>
      </c>
      <c r="I370" s="3" t="str">
        <f>ledger!F370</f>
        <v>UPI</v>
      </c>
      <c r="J370" s="3" t="str">
        <f>ledger!G370</f>
        <v>chargeback</v>
      </c>
      <c r="K370" s="9">
        <f>HLOOKUP(I370,Fee!$B$1:$E$2,2,FALSE())</f>
        <v>5.0000000000000001E-3</v>
      </c>
      <c r="L370" s="12">
        <f t="shared" si="10"/>
        <v>0.245</v>
      </c>
      <c r="M370" s="3">
        <f>SUMIFS(ledger!$E$2:$E$548, ledger!$C$2:$C$548, B370, ledger!$I$2:$I$548, G370)</f>
        <v>49</v>
      </c>
      <c r="N370" s="3" t="str">
        <f t="shared" si="11"/>
        <v>Standard</v>
      </c>
    </row>
    <row r="371" spans="1:14" x14ac:dyDescent="0.3">
      <c r="A371" s="3" t="str">
        <f>ledger!A371</f>
        <v>TXN100369</v>
      </c>
      <c r="B371" s="3">
        <f>ledger!C371</f>
        <v>34</v>
      </c>
      <c r="C371" s="4" t="str">
        <f>IFERROR(VLOOKUP(B371, merchants!$A$2:$D$41, 2, FALSE), "Merchant not found")</f>
        <v>Merchant_034</v>
      </c>
      <c r="D371" s="3" t="str">
        <f>IFERROR(VLOOKUP(B371, merchants!$A$2:$D$41, 3, FALSE), "Merchant not found")</f>
        <v>travel</v>
      </c>
      <c r="E371" s="3" t="str">
        <f>IFERROR(VLOOKUP(B371, merchants!$A$2:$D$41, 4, FALSE), "Merchant not found")</f>
        <v>South</v>
      </c>
      <c r="F371" s="4">
        <f>ledger!D371</f>
        <v>46046.072916666664</v>
      </c>
      <c r="G371" s="5">
        <f>ledger!I371</f>
        <v>46046</v>
      </c>
      <c r="H371" s="3">
        <f>ledger!E371</f>
        <v>499</v>
      </c>
      <c r="I371" s="3" t="str">
        <f>ledger!F371</f>
        <v>UPI</v>
      </c>
      <c r="J371" s="3" t="str">
        <f>ledger!G371</f>
        <v>captured</v>
      </c>
      <c r="K371" s="9">
        <f>HLOOKUP(I371,Fee!$B$1:$E$2,2,FALSE())</f>
        <v>5.0000000000000001E-3</v>
      </c>
      <c r="L371" s="12">
        <f t="shared" si="10"/>
        <v>2.4950000000000001</v>
      </c>
      <c r="M371" s="3">
        <f>SUMIFS(ledger!$E$2:$E$548, ledger!$C$2:$C$548, B371, ledger!$I$2:$I$548, G371)</f>
        <v>548</v>
      </c>
      <c r="N371" s="3" t="str">
        <f t="shared" si="11"/>
        <v>Standard</v>
      </c>
    </row>
    <row r="372" spans="1:14" x14ac:dyDescent="0.3">
      <c r="A372" s="3" t="str">
        <f>ledger!A372</f>
        <v>TXN100370</v>
      </c>
      <c r="B372" s="3">
        <f>ledger!C372</f>
        <v>34</v>
      </c>
      <c r="C372" s="4" t="str">
        <f>IFERROR(VLOOKUP(B372, merchants!$A$2:$D$41, 2, FALSE), "Merchant not found")</f>
        <v>Merchant_034</v>
      </c>
      <c r="D372" s="3" t="str">
        <f>IFERROR(VLOOKUP(B372, merchants!$A$2:$D$41, 3, FALSE), "Merchant not found")</f>
        <v>travel</v>
      </c>
      <c r="E372" s="3" t="str">
        <f>IFERROR(VLOOKUP(B372, merchants!$A$2:$D$41, 4, FALSE), "Merchant not found")</f>
        <v>South</v>
      </c>
      <c r="F372" s="4">
        <f>ledger!D372</f>
        <v>46040.445833333331</v>
      </c>
      <c r="G372" s="5">
        <f>ledger!I372</f>
        <v>46040</v>
      </c>
      <c r="H372" s="3">
        <f>ledger!E372</f>
        <v>99</v>
      </c>
      <c r="I372" s="3" t="str">
        <f>ledger!F372</f>
        <v>UPI</v>
      </c>
      <c r="J372" s="3" t="str">
        <f>ledger!G372</f>
        <v>captured</v>
      </c>
      <c r="K372" s="9">
        <f>HLOOKUP(I372,Fee!$B$1:$E$2,2,FALSE())</f>
        <v>5.0000000000000001E-3</v>
      </c>
      <c r="L372" s="12">
        <f t="shared" si="10"/>
        <v>0.495</v>
      </c>
      <c r="M372" s="3">
        <f>SUMIFS(ledger!$E$2:$E$548, ledger!$C$2:$C$548, B372, ledger!$I$2:$I$548, G372)</f>
        <v>148</v>
      </c>
      <c r="N372" s="3" t="str">
        <f t="shared" si="11"/>
        <v>Standard</v>
      </c>
    </row>
    <row r="373" spans="1:14" x14ac:dyDescent="0.3">
      <c r="A373" s="3" t="str">
        <f>ledger!A373</f>
        <v>TXN100371</v>
      </c>
      <c r="B373" s="3">
        <f>ledger!C373</f>
        <v>22</v>
      </c>
      <c r="C373" s="4" t="str">
        <f>IFERROR(VLOOKUP(B373, merchants!$A$2:$D$41, 2, FALSE), "Merchant not found")</f>
        <v>Merchant_022</v>
      </c>
      <c r="D373" s="3" t="str">
        <f>IFERROR(VLOOKUP(B373, merchants!$A$2:$D$41, 3, FALSE), "Merchant not found")</f>
        <v>travel</v>
      </c>
      <c r="E373" s="3" t="str">
        <f>IFERROR(VLOOKUP(B373, merchants!$A$2:$D$41, 4, FALSE), "Merchant not found")</f>
        <v>South</v>
      </c>
      <c r="F373" s="4">
        <f>ledger!D373</f>
        <v>46033.228472222225</v>
      </c>
      <c r="G373" s="5">
        <f>ledger!I373</f>
        <v>46033</v>
      </c>
      <c r="H373" s="3">
        <f>ledger!E373</f>
        <v>299</v>
      </c>
      <c r="I373" s="3" t="str">
        <f>ledger!F373</f>
        <v>Wallet</v>
      </c>
      <c r="J373" s="3" t="str">
        <f>ledger!G373</f>
        <v>captured</v>
      </c>
      <c r="K373" s="9">
        <f>HLOOKUP(I373,Fee!$B$1:$E$2,2,FALSE())</f>
        <v>1.4999999999999999E-2</v>
      </c>
      <c r="L373" s="12">
        <f t="shared" si="10"/>
        <v>4.4849999999999994</v>
      </c>
      <c r="M373" s="3">
        <f>SUMIFS(ledger!$E$2:$E$548, ledger!$C$2:$C$548, B373, ledger!$I$2:$I$548, G373)</f>
        <v>299</v>
      </c>
      <c r="N373" s="3" t="str">
        <f t="shared" si="11"/>
        <v>Standard</v>
      </c>
    </row>
    <row r="374" spans="1:14" x14ac:dyDescent="0.3">
      <c r="A374" s="3" t="str">
        <f>ledger!A374</f>
        <v>TXN100372</v>
      </c>
      <c r="B374" s="3">
        <f>ledger!C374</f>
        <v>17</v>
      </c>
      <c r="C374" s="4" t="str">
        <f>IFERROR(VLOOKUP(B374, merchants!$A$2:$D$41, 2, FALSE), "Merchant not found")</f>
        <v>Merchant_017</v>
      </c>
      <c r="D374" s="3" t="str">
        <f>IFERROR(VLOOKUP(B374, merchants!$A$2:$D$41, 3, FALSE), "Merchant not found")</f>
        <v>grocery</v>
      </c>
      <c r="E374" s="3" t="str">
        <f>IFERROR(VLOOKUP(B374, merchants!$A$2:$D$41, 4, FALSE), "Merchant not found")</f>
        <v>North</v>
      </c>
      <c r="F374" s="4">
        <f>ledger!D374</f>
        <v>46034.90902777778</v>
      </c>
      <c r="G374" s="5">
        <f>ledger!I374</f>
        <v>46034</v>
      </c>
      <c r="H374" s="3">
        <f>ledger!E374</f>
        <v>1499</v>
      </c>
      <c r="I374" s="3" t="str">
        <f>ledger!F374</f>
        <v>UPI</v>
      </c>
      <c r="J374" s="3" t="str">
        <f>ledger!G374</f>
        <v>captured</v>
      </c>
      <c r="K374" s="9">
        <f>HLOOKUP(I374,Fee!$B$1:$E$2,2,FALSE())</f>
        <v>5.0000000000000001E-3</v>
      </c>
      <c r="L374" s="12">
        <f t="shared" si="10"/>
        <v>7.4950000000000001</v>
      </c>
      <c r="M374" s="3">
        <f>SUMIFS(ledger!$E$2:$E$548, ledger!$C$2:$C$548, B374, ledger!$I$2:$I$548, G374)</f>
        <v>1499</v>
      </c>
      <c r="N374" s="3" t="str">
        <f t="shared" si="11"/>
        <v>Standard</v>
      </c>
    </row>
    <row r="375" spans="1:14" x14ac:dyDescent="0.3">
      <c r="A375" s="3" t="str">
        <f>ledger!A375</f>
        <v>TXN100373</v>
      </c>
      <c r="B375" s="3">
        <f>ledger!C375</f>
        <v>36</v>
      </c>
      <c r="C375" s="4" t="str">
        <f>IFERROR(VLOOKUP(B375, merchants!$A$2:$D$41, 2, FALSE), "Merchant not found")</f>
        <v>Merchant_036</v>
      </c>
      <c r="D375" s="3" t="str">
        <f>IFERROR(VLOOKUP(B375, merchants!$A$2:$D$41, 3, FALSE), "Merchant not found")</f>
        <v>entertainment</v>
      </c>
      <c r="E375" s="3" t="str">
        <f>IFERROR(VLOOKUP(B375, merchants!$A$2:$D$41, 4, FALSE), "Merchant not found")</f>
        <v>East</v>
      </c>
      <c r="F375" s="4">
        <f>ledger!D375</f>
        <v>46038.260416666664</v>
      </c>
      <c r="G375" s="5">
        <f>ledger!I375</f>
        <v>46038</v>
      </c>
      <c r="H375" s="3">
        <f>ledger!E375</f>
        <v>1499</v>
      </c>
      <c r="I375" s="3" t="str">
        <f>ledger!F375</f>
        <v>Netbanking</v>
      </c>
      <c r="J375" s="3" t="str">
        <f>ledger!G375</f>
        <v>captured</v>
      </c>
      <c r="K375" s="9">
        <f>HLOOKUP(I375,Fee!$B$1:$E$2,2,FALSE())</f>
        <v>1.7999999999999999E-2</v>
      </c>
      <c r="L375" s="12">
        <f t="shared" si="10"/>
        <v>26.981999999999999</v>
      </c>
      <c r="M375" s="3">
        <f>SUMIFS(ledger!$E$2:$E$548, ledger!$C$2:$C$548, B375, ledger!$I$2:$I$548, G375)</f>
        <v>1499</v>
      </c>
      <c r="N375" s="3" t="str">
        <f t="shared" si="11"/>
        <v>Standard</v>
      </c>
    </row>
    <row r="376" spans="1:14" x14ac:dyDescent="0.3">
      <c r="A376" s="3" t="str">
        <f>ledger!A376</f>
        <v>TXN100374</v>
      </c>
      <c r="B376" s="3">
        <f>ledger!C376</f>
        <v>14</v>
      </c>
      <c r="C376" s="4" t="str">
        <f>IFERROR(VLOOKUP(B376, merchants!$A$2:$D$41, 2, FALSE), "Merchant not found")</f>
        <v>Merchant_014</v>
      </c>
      <c r="D376" s="3" t="str">
        <f>IFERROR(VLOOKUP(B376, merchants!$A$2:$D$41, 3, FALSE), "Merchant not found")</f>
        <v>grocery</v>
      </c>
      <c r="E376" s="3" t="str">
        <f>IFERROR(VLOOKUP(B376, merchants!$A$2:$D$41, 4, FALSE), "Merchant not found")</f>
        <v>East</v>
      </c>
      <c r="F376" s="4">
        <f>ledger!D376</f>
        <v>46030.40902777778</v>
      </c>
      <c r="G376" s="5">
        <f>ledger!I376</f>
        <v>46030</v>
      </c>
      <c r="H376" s="3">
        <f>ledger!E376</f>
        <v>799</v>
      </c>
      <c r="I376" s="3" t="str">
        <f>ledger!F376</f>
        <v>Wallet</v>
      </c>
      <c r="J376" s="3" t="str">
        <f>ledger!G376</f>
        <v>captured</v>
      </c>
      <c r="K376" s="9">
        <f>HLOOKUP(I376,Fee!$B$1:$E$2,2,FALSE())</f>
        <v>1.4999999999999999E-2</v>
      </c>
      <c r="L376" s="12">
        <f t="shared" si="10"/>
        <v>11.984999999999999</v>
      </c>
      <c r="M376" s="3">
        <f>SUMIFS(ledger!$E$2:$E$548, ledger!$C$2:$C$548, B376, ledger!$I$2:$I$548, G376)</f>
        <v>799</v>
      </c>
      <c r="N376" s="3" t="str">
        <f t="shared" si="11"/>
        <v>Standard</v>
      </c>
    </row>
    <row r="377" spans="1:14" x14ac:dyDescent="0.3">
      <c r="A377" s="3" t="str">
        <f>ledger!A377</f>
        <v>TXN100375</v>
      </c>
      <c r="B377" s="3">
        <f>ledger!C377</f>
        <v>23</v>
      </c>
      <c r="C377" s="4" t="str">
        <f>IFERROR(VLOOKUP(B377, merchants!$A$2:$D$41, 2, FALSE), "Merchant not found")</f>
        <v>Merchant_023</v>
      </c>
      <c r="D377" s="3" t="str">
        <f>IFERROR(VLOOKUP(B377, merchants!$A$2:$D$41, 3, FALSE), "Merchant not found")</f>
        <v>travel</v>
      </c>
      <c r="E377" s="3" t="str">
        <f>IFERROR(VLOOKUP(B377, merchants!$A$2:$D$41, 4, FALSE), "Merchant not found")</f>
        <v>North</v>
      </c>
      <c r="F377" s="4">
        <f>ledger!D377</f>
        <v>46045.638888888891</v>
      </c>
      <c r="G377" s="5">
        <f>ledger!I377</f>
        <v>46045</v>
      </c>
      <c r="H377" s="3">
        <f>ledger!E377</f>
        <v>49</v>
      </c>
      <c r="I377" s="3" t="str">
        <f>ledger!F377</f>
        <v>UPI</v>
      </c>
      <c r="J377" s="3" t="str">
        <f>ledger!G377</f>
        <v>captured</v>
      </c>
      <c r="K377" s="9">
        <f>HLOOKUP(I377,Fee!$B$1:$E$2,2,FALSE())</f>
        <v>5.0000000000000001E-3</v>
      </c>
      <c r="L377" s="12">
        <f t="shared" si="10"/>
        <v>0.245</v>
      </c>
      <c r="M377" s="3">
        <f>SUMIFS(ledger!$E$2:$E$548, ledger!$C$2:$C$548, B377, ledger!$I$2:$I$548, G377)</f>
        <v>247</v>
      </c>
      <c r="N377" s="3" t="str">
        <f t="shared" si="11"/>
        <v>Standard</v>
      </c>
    </row>
    <row r="378" spans="1:14" x14ac:dyDescent="0.3">
      <c r="A378" s="3" t="str">
        <f>ledger!A378</f>
        <v>TXN100376</v>
      </c>
      <c r="B378" s="3">
        <f>ledger!C378</f>
        <v>8</v>
      </c>
      <c r="C378" s="4" t="str">
        <f>IFERROR(VLOOKUP(B378, merchants!$A$2:$D$41, 2, FALSE), "Merchant not found")</f>
        <v>Merchant_008</v>
      </c>
      <c r="D378" s="3" t="str">
        <f>IFERROR(VLOOKUP(B378, merchants!$A$2:$D$41, 3, FALSE), "Merchant not found")</f>
        <v>food_delivery</v>
      </c>
      <c r="E378" s="3" t="str">
        <f>IFERROR(VLOOKUP(B378, merchants!$A$2:$D$41, 4, FALSE), "Merchant not found")</f>
        <v>North</v>
      </c>
      <c r="F378" s="4">
        <f>ledger!D378</f>
        <v>46052.970138888886</v>
      </c>
      <c r="G378" s="5">
        <f>ledger!I378</f>
        <v>46052</v>
      </c>
      <c r="H378" s="3">
        <f>ledger!E378</f>
        <v>99</v>
      </c>
      <c r="I378" s="3" t="str">
        <f>ledger!F378</f>
        <v>Wallet</v>
      </c>
      <c r="J378" s="3" t="str">
        <f>ledger!G378</f>
        <v>captured</v>
      </c>
      <c r="K378" s="9">
        <f>HLOOKUP(I378,Fee!$B$1:$E$2,2,FALSE())</f>
        <v>1.4999999999999999E-2</v>
      </c>
      <c r="L378" s="12">
        <f t="shared" si="10"/>
        <v>1.4849999999999999</v>
      </c>
      <c r="M378" s="3">
        <f>SUMIFS(ledger!$E$2:$E$548, ledger!$C$2:$C$548, B378, ledger!$I$2:$I$548, G378)</f>
        <v>99</v>
      </c>
      <c r="N378" s="3" t="str">
        <f t="shared" si="11"/>
        <v>Standard</v>
      </c>
    </row>
    <row r="379" spans="1:14" x14ac:dyDescent="0.3">
      <c r="A379" s="3" t="str">
        <f>ledger!A379</f>
        <v>TXN100377</v>
      </c>
      <c r="B379" s="3">
        <f>ledger!C379</f>
        <v>23</v>
      </c>
      <c r="C379" s="4" t="str">
        <f>IFERROR(VLOOKUP(B379, merchants!$A$2:$D$41, 2, FALSE), "Merchant not found")</f>
        <v>Merchant_023</v>
      </c>
      <c r="D379" s="3" t="str">
        <f>IFERROR(VLOOKUP(B379, merchants!$A$2:$D$41, 3, FALSE), "Merchant not found")</f>
        <v>travel</v>
      </c>
      <c r="E379" s="3" t="str">
        <f>IFERROR(VLOOKUP(B379, merchants!$A$2:$D$41, 4, FALSE), "Merchant not found")</f>
        <v>North</v>
      </c>
      <c r="F379" s="4">
        <f>ledger!D379</f>
        <v>46044.724999999999</v>
      </c>
      <c r="G379" s="5">
        <f>ledger!I379</f>
        <v>46044</v>
      </c>
      <c r="H379" s="3">
        <f>ledger!E379</f>
        <v>49</v>
      </c>
      <c r="I379" s="3" t="str">
        <f>ledger!F379</f>
        <v>UPI</v>
      </c>
      <c r="J379" s="3" t="str">
        <f>ledger!G379</f>
        <v>captured</v>
      </c>
      <c r="K379" s="9">
        <f>HLOOKUP(I379,Fee!$B$1:$E$2,2,FALSE())</f>
        <v>5.0000000000000001E-3</v>
      </c>
      <c r="L379" s="12">
        <f t="shared" si="10"/>
        <v>0.245</v>
      </c>
      <c r="M379" s="3">
        <f>SUMIFS(ledger!$E$2:$E$548, ledger!$C$2:$C$548, B379, ledger!$I$2:$I$548, G379)</f>
        <v>49</v>
      </c>
      <c r="N379" s="3" t="str">
        <f t="shared" si="11"/>
        <v>Standard</v>
      </c>
    </row>
    <row r="380" spans="1:14" x14ac:dyDescent="0.3">
      <c r="A380" s="3" t="str">
        <f>ledger!A380</f>
        <v>TXN100378</v>
      </c>
      <c r="B380" s="3">
        <f>ledger!C380</f>
        <v>19</v>
      </c>
      <c r="C380" s="4" t="str">
        <f>IFERROR(VLOOKUP(B380, merchants!$A$2:$D$41, 2, FALSE), "Merchant not found")</f>
        <v>Merchant_019</v>
      </c>
      <c r="D380" s="3" t="str">
        <f>IFERROR(VLOOKUP(B380, merchants!$A$2:$D$41, 3, FALSE), "Merchant not found")</f>
        <v>grocery</v>
      </c>
      <c r="E380" s="3" t="str">
        <f>IFERROR(VLOOKUP(B380, merchants!$A$2:$D$41, 4, FALSE), "Merchant not found")</f>
        <v>North</v>
      </c>
      <c r="F380" s="4">
        <f>ledger!D380</f>
        <v>46048.179166666669</v>
      </c>
      <c r="G380" s="5">
        <f>ledger!I380</f>
        <v>46048</v>
      </c>
      <c r="H380" s="3">
        <f>ledger!E380</f>
        <v>49</v>
      </c>
      <c r="I380" s="3" t="str">
        <f>ledger!F380</f>
        <v>Card</v>
      </c>
      <c r="J380" s="3" t="str">
        <f>ledger!G380</f>
        <v>captured</v>
      </c>
      <c r="K380" s="9">
        <f>HLOOKUP(I380,Fee!$B$1:$E$2,2,FALSE())</f>
        <v>0.02</v>
      </c>
      <c r="L380" s="12">
        <f t="shared" si="10"/>
        <v>0.98</v>
      </c>
      <c r="M380" s="3">
        <f>SUMIFS(ledger!$E$2:$E$548, ledger!$C$2:$C$548, B380, ledger!$I$2:$I$548, G380)</f>
        <v>49</v>
      </c>
      <c r="N380" s="3" t="str">
        <f t="shared" si="11"/>
        <v>Standard</v>
      </c>
    </row>
    <row r="381" spans="1:14" x14ac:dyDescent="0.3">
      <c r="A381" s="3" t="str">
        <f>ledger!A381</f>
        <v>TXN100379</v>
      </c>
      <c r="B381" s="3">
        <f>ledger!C381</f>
        <v>17</v>
      </c>
      <c r="C381" s="4" t="str">
        <f>IFERROR(VLOOKUP(B381, merchants!$A$2:$D$41, 2, FALSE), "Merchant not found")</f>
        <v>Merchant_017</v>
      </c>
      <c r="D381" s="3" t="str">
        <f>IFERROR(VLOOKUP(B381, merchants!$A$2:$D$41, 3, FALSE), "Merchant not found")</f>
        <v>grocery</v>
      </c>
      <c r="E381" s="3" t="str">
        <f>IFERROR(VLOOKUP(B381, merchants!$A$2:$D$41, 4, FALSE), "Merchant not found")</f>
        <v>North</v>
      </c>
      <c r="F381" s="4">
        <f>ledger!D381</f>
        <v>46025.499305555553</v>
      </c>
      <c r="G381" s="5">
        <f>ledger!I381</f>
        <v>46025</v>
      </c>
      <c r="H381" s="3">
        <f>ledger!E381</f>
        <v>299</v>
      </c>
      <c r="I381" s="3" t="str">
        <f>ledger!F381</f>
        <v>Wallet</v>
      </c>
      <c r="J381" s="3" t="str">
        <f>ledger!G381</f>
        <v>captured</v>
      </c>
      <c r="K381" s="9">
        <f>HLOOKUP(I381,Fee!$B$1:$E$2,2,FALSE())</f>
        <v>1.4999999999999999E-2</v>
      </c>
      <c r="L381" s="12">
        <f t="shared" si="10"/>
        <v>4.4849999999999994</v>
      </c>
      <c r="M381" s="3">
        <f>SUMIFS(ledger!$E$2:$E$548, ledger!$C$2:$C$548, B381, ledger!$I$2:$I$548, G381)</f>
        <v>398</v>
      </c>
      <c r="N381" s="3" t="str">
        <f t="shared" si="11"/>
        <v>Standard</v>
      </c>
    </row>
    <row r="382" spans="1:14" x14ac:dyDescent="0.3">
      <c r="A382" s="3" t="str">
        <f>ledger!A382</f>
        <v>TXN100380</v>
      </c>
      <c r="B382" s="3">
        <f>ledger!C382</f>
        <v>18</v>
      </c>
      <c r="C382" s="4" t="str">
        <f>IFERROR(VLOOKUP(B382, merchants!$A$2:$D$41, 2, FALSE), "Merchant not found")</f>
        <v>Merchant_018</v>
      </c>
      <c r="D382" s="3" t="str">
        <f>IFERROR(VLOOKUP(B382, merchants!$A$2:$D$41, 3, FALSE), "Merchant not found")</f>
        <v>grocery</v>
      </c>
      <c r="E382" s="3" t="str">
        <f>IFERROR(VLOOKUP(B382, merchants!$A$2:$D$41, 4, FALSE), "Merchant not found")</f>
        <v>West</v>
      </c>
      <c r="F382" s="4">
        <f>ledger!D382</f>
        <v>46038.258333333331</v>
      </c>
      <c r="G382" s="5">
        <f>ledger!I382</f>
        <v>46038</v>
      </c>
      <c r="H382" s="3">
        <f>ledger!E382</f>
        <v>149</v>
      </c>
      <c r="I382" s="3" t="str">
        <f>ledger!F382</f>
        <v>Wallet</v>
      </c>
      <c r="J382" s="3" t="str">
        <f>ledger!G382</f>
        <v>captured</v>
      </c>
      <c r="K382" s="9">
        <f>HLOOKUP(I382,Fee!$B$1:$E$2,2,FALSE())</f>
        <v>1.4999999999999999E-2</v>
      </c>
      <c r="L382" s="12">
        <f t="shared" si="10"/>
        <v>2.2349999999999999</v>
      </c>
      <c r="M382" s="3">
        <f>SUMIFS(ledger!$E$2:$E$548, ledger!$C$2:$C$548, B382, ledger!$I$2:$I$548, G382)</f>
        <v>3148</v>
      </c>
      <c r="N382" s="3" t="str">
        <f t="shared" si="11"/>
        <v>Standard</v>
      </c>
    </row>
    <row r="383" spans="1:14" x14ac:dyDescent="0.3">
      <c r="A383" s="3" t="str">
        <f>ledger!A383</f>
        <v>TXN100381</v>
      </c>
      <c r="B383" s="3">
        <f>ledger!C383</f>
        <v>40</v>
      </c>
      <c r="C383" s="4" t="str">
        <f>IFERROR(VLOOKUP(B383, merchants!$A$2:$D$41, 2, FALSE), "Merchant not found")</f>
        <v>Merchant_040</v>
      </c>
      <c r="D383" s="3" t="str">
        <f>IFERROR(VLOOKUP(B383, merchants!$A$2:$D$41, 3, FALSE), "Merchant not found")</f>
        <v>entertainment</v>
      </c>
      <c r="E383" s="3" t="str">
        <f>IFERROR(VLOOKUP(B383, merchants!$A$2:$D$41, 4, FALSE), "Merchant not found")</f>
        <v>South</v>
      </c>
      <c r="F383" s="4">
        <f>ledger!D383</f>
        <v>46045.338888888888</v>
      </c>
      <c r="G383" s="5">
        <f>ledger!I383</f>
        <v>46045</v>
      </c>
      <c r="H383" s="3">
        <f>ledger!E383</f>
        <v>99</v>
      </c>
      <c r="I383" s="3" t="str">
        <f>ledger!F383</f>
        <v>Card</v>
      </c>
      <c r="J383" s="3" t="str">
        <f>ledger!G383</f>
        <v>captured</v>
      </c>
      <c r="K383" s="9">
        <f>HLOOKUP(I383,Fee!$B$1:$E$2,2,FALSE())</f>
        <v>0.02</v>
      </c>
      <c r="L383" s="12">
        <f t="shared" si="10"/>
        <v>1.98</v>
      </c>
      <c r="M383" s="3">
        <f>SUMIFS(ledger!$E$2:$E$548, ledger!$C$2:$C$548, B383, ledger!$I$2:$I$548, G383)</f>
        <v>598</v>
      </c>
      <c r="N383" s="3" t="str">
        <f t="shared" si="11"/>
        <v>Standard</v>
      </c>
    </row>
    <row r="384" spans="1:14" x14ac:dyDescent="0.3">
      <c r="A384" s="3" t="str">
        <f>ledger!A384</f>
        <v>TXN100382</v>
      </c>
      <c r="B384" s="3">
        <f>ledger!C384</f>
        <v>34</v>
      </c>
      <c r="C384" s="4" t="str">
        <f>IFERROR(VLOOKUP(B384, merchants!$A$2:$D$41, 2, FALSE), "Merchant not found")</f>
        <v>Merchant_034</v>
      </c>
      <c r="D384" s="3" t="str">
        <f>IFERROR(VLOOKUP(B384, merchants!$A$2:$D$41, 3, FALSE), "Merchant not found")</f>
        <v>travel</v>
      </c>
      <c r="E384" s="3" t="str">
        <f>IFERROR(VLOOKUP(B384, merchants!$A$2:$D$41, 4, FALSE), "Merchant not found")</f>
        <v>South</v>
      </c>
      <c r="F384" s="4">
        <f>ledger!D384</f>
        <v>46041.302083333336</v>
      </c>
      <c r="G384" s="5">
        <f>ledger!I384</f>
        <v>46041</v>
      </c>
      <c r="H384" s="3">
        <f>ledger!E384</f>
        <v>499</v>
      </c>
      <c r="I384" s="3" t="str">
        <f>ledger!F384</f>
        <v>Card</v>
      </c>
      <c r="J384" s="3" t="str">
        <f>ledger!G384</f>
        <v>captured</v>
      </c>
      <c r="K384" s="9">
        <f>HLOOKUP(I384,Fee!$B$1:$E$2,2,FALSE())</f>
        <v>0.02</v>
      </c>
      <c r="L384" s="12">
        <f t="shared" si="10"/>
        <v>9.98</v>
      </c>
      <c r="M384" s="3">
        <f>SUMIFS(ledger!$E$2:$E$548, ledger!$C$2:$C$548, B384, ledger!$I$2:$I$548, G384)</f>
        <v>499</v>
      </c>
      <c r="N384" s="3" t="str">
        <f t="shared" si="11"/>
        <v>Standard</v>
      </c>
    </row>
    <row r="385" spans="1:14" x14ac:dyDescent="0.3">
      <c r="A385" s="3" t="str">
        <f>ledger!A385</f>
        <v>TXN100383</v>
      </c>
      <c r="B385" s="3">
        <f>ledger!C385</f>
        <v>27</v>
      </c>
      <c r="C385" s="4" t="str">
        <f>IFERROR(VLOOKUP(B385, merchants!$A$2:$D$41, 2, FALSE), "Merchant not found")</f>
        <v>Merchant_027</v>
      </c>
      <c r="D385" s="3" t="str">
        <f>IFERROR(VLOOKUP(B385, merchants!$A$2:$D$41, 3, FALSE), "Merchant not found")</f>
        <v>ecommerce</v>
      </c>
      <c r="E385" s="3" t="str">
        <f>IFERROR(VLOOKUP(B385, merchants!$A$2:$D$41, 4, FALSE), "Merchant not found")</f>
        <v>North</v>
      </c>
      <c r="F385" s="4">
        <f>ledger!D385</f>
        <v>46043.293749999997</v>
      </c>
      <c r="G385" s="5">
        <f>ledger!I385</f>
        <v>46043</v>
      </c>
      <c r="H385" s="3">
        <f>ledger!E385</f>
        <v>499</v>
      </c>
      <c r="I385" s="3" t="str">
        <f>ledger!F385</f>
        <v>Card</v>
      </c>
      <c r="J385" s="3" t="str">
        <f>ledger!G385</f>
        <v>captured</v>
      </c>
      <c r="K385" s="9">
        <f>HLOOKUP(I385,Fee!$B$1:$E$2,2,FALSE())</f>
        <v>0.02</v>
      </c>
      <c r="L385" s="12">
        <f t="shared" si="10"/>
        <v>9.98</v>
      </c>
      <c r="M385" s="3">
        <f>SUMIFS(ledger!$E$2:$E$548, ledger!$C$2:$C$548, B385, ledger!$I$2:$I$548, G385)</f>
        <v>499</v>
      </c>
      <c r="N385" s="3" t="str">
        <f t="shared" si="11"/>
        <v>Standard</v>
      </c>
    </row>
    <row r="386" spans="1:14" x14ac:dyDescent="0.3">
      <c r="A386" s="3" t="str">
        <f>ledger!A386</f>
        <v>TXN100384</v>
      </c>
      <c r="B386" s="3">
        <f>ledger!C386</f>
        <v>9</v>
      </c>
      <c r="C386" s="4" t="str">
        <f>IFERROR(VLOOKUP(B386, merchants!$A$2:$D$41, 2, FALSE), "Merchant not found")</f>
        <v>Merchant_009</v>
      </c>
      <c r="D386" s="3" t="str">
        <f>IFERROR(VLOOKUP(B386, merchants!$A$2:$D$41, 3, FALSE), "Merchant not found")</f>
        <v>ecommerce</v>
      </c>
      <c r="E386" s="3" t="str">
        <f>IFERROR(VLOOKUP(B386, merchants!$A$2:$D$41, 4, FALSE), "Merchant not found")</f>
        <v>North</v>
      </c>
      <c r="F386" s="4">
        <f>ledger!D386</f>
        <v>46045.629166666666</v>
      </c>
      <c r="G386" s="5">
        <f>ledger!I386</f>
        <v>46045</v>
      </c>
      <c r="H386" s="3">
        <f>ledger!E386</f>
        <v>499</v>
      </c>
      <c r="I386" s="3" t="str">
        <f>ledger!F386</f>
        <v>Wallet</v>
      </c>
      <c r="J386" s="3" t="str">
        <f>ledger!G386</f>
        <v>captured</v>
      </c>
      <c r="K386" s="9">
        <f>HLOOKUP(I386,Fee!$B$1:$E$2,2,FALSE())</f>
        <v>1.4999999999999999E-2</v>
      </c>
      <c r="L386" s="12">
        <f t="shared" si="10"/>
        <v>7.4849999999999994</v>
      </c>
      <c r="M386" s="3">
        <f>SUMIFS(ledger!$E$2:$E$548, ledger!$C$2:$C$548, B386, ledger!$I$2:$I$548, G386)</f>
        <v>898</v>
      </c>
      <c r="N386" s="3" t="str">
        <f t="shared" si="11"/>
        <v>Standard</v>
      </c>
    </row>
    <row r="387" spans="1:14" x14ac:dyDescent="0.3">
      <c r="A387" s="3" t="str">
        <f>ledger!A387</f>
        <v>TXN100385</v>
      </c>
      <c r="B387" s="3">
        <f>ledger!C387</f>
        <v>31</v>
      </c>
      <c r="C387" s="4" t="str">
        <f>IFERROR(VLOOKUP(B387, merchants!$A$2:$D$41, 2, FALSE), "Merchant not found")</f>
        <v>Merchant_031</v>
      </c>
      <c r="D387" s="3" t="str">
        <f>IFERROR(VLOOKUP(B387, merchants!$A$2:$D$41, 3, FALSE), "Merchant not found")</f>
        <v>bill_payment</v>
      </c>
      <c r="E387" s="3" t="str">
        <f>IFERROR(VLOOKUP(B387, merchants!$A$2:$D$41, 4, FALSE), "Merchant not found")</f>
        <v>East</v>
      </c>
      <c r="F387" s="4">
        <f>ledger!D387</f>
        <v>46040.226388888892</v>
      </c>
      <c r="G387" s="5">
        <f>ledger!I387</f>
        <v>46040</v>
      </c>
      <c r="H387" s="3">
        <f>ledger!E387</f>
        <v>49</v>
      </c>
      <c r="I387" s="3" t="str">
        <f>ledger!F387</f>
        <v>Card</v>
      </c>
      <c r="J387" s="3" t="str">
        <f>ledger!G387</f>
        <v>captured</v>
      </c>
      <c r="K387" s="9">
        <f>HLOOKUP(I387,Fee!$B$1:$E$2,2,FALSE())</f>
        <v>0.02</v>
      </c>
      <c r="L387" s="12">
        <f t="shared" ref="L387:L450" si="12">H387*K387</f>
        <v>0.98</v>
      </c>
      <c r="M387" s="3">
        <f>SUMIFS(ledger!$E$2:$E$548, ledger!$C$2:$C$548, B387, ledger!$I$2:$I$548, G387)</f>
        <v>49</v>
      </c>
      <c r="N387" s="3" t="str">
        <f t="shared" ref="N387:N450" si="13">IF(AND(M387&gt;5000,E387&lt;&gt;"East"),"High Value","Standard")</f>
        <v>Standard</v>
      </c>
    </row>
    <row r="388" spans="1:14" x14ac:dyDescent="0.3">
      <c r="A388" s="3" t="str">
        <f>ledger!A388</f>
        <v>TXN100386</v>
      </c>
      <c r="B388" s="3">
        <f>ledger!C388</f>
        <v>21</v>
      </c>
      <c r="C388" s="4" t="str">
        <f>IFERROR(VLOOKUP(B388, merchants!$A$2:$D$41, 2, FALSE), "Merchant not found")</f>
        <v>Merchant_021</v>
      </c>
      <c r="D388" s="3" t="str">
        <f>IFERROR(VLOOKUP(B388, merchants!$A$2:$D$41, 3, FALSE), "Merchant not found")</f>
        <v>food_delivery</v>
      </c>
      <c r="E388" s="3" t="str">
        <f>IFERROR(VLOOKUP(B388, merchants!$A$2:$D$41, 4, FALSE), "Merchant not found")</f>
        <v>East</v>
      </c>
      <c r="F388" s="4">
        <f>ledger!D388</f>
        <v>46043.283333333333</v>
      </c>
      <c r="G388" s="5">
        <f>ledger!I388</f>
        <v>46043</v>
      </c>
      <c r="H388" s="3">
        <f>ledger!E388</f>
        <v>49</v>
      </c>
      <c r="I388" s="3" t="str">
        <f>ledger!F388</f>
        <v>Card</v>
      </c>
      <c r="J388" s="3" t="str">
        <f>ledger!G388</f>
        <v>captured</v>
      </c>
      <c r="K388" s="9">
        <f>HLOOKUP(I388,Fee!$B$1:$E$2,2,FALSE())</f>
        <v>0.02</v>
      </c>
      <c r="L388" s="12">
        <f t="shared" si="12"/>
        <v>0.98</v>
      </c>
      <c r="M388" s="3">
        <f>SUMIFS(ledger!$E$2:$E$548, ledger!$C$2:$C$548, B388, ledger!$I$2:$I$548, G388)</f>
        <v>49</v>
      </c>
      <c r="N388" s="3" t="str">
        <f t="shared" si="13"/>
        <v>Standard</v>
      </c>
    </row>
    <row r="389" spans="1:14" x14ac:dyDescent="0.3">
      <c r="A389" s="3" t="str">
        <f>ledger!A389</f>
        <v>TXN100387</v>
      </c>
      <c r="B389" s="3">
        <f>ledger!C389</f>
        <v>37</v>
      </c>
      <c r="C389" s="4" t="str">
        <f>IFERROR(VLOOKUP(B389, merchants!$A$2:$D$41, 2, FALSE), "Merchant not found")</f>
        <v>Merchant_037</v>
      </c>
      <c r="D389" s="3" t="str">
        <f>IFERROR(VLOOKUP(B389, merchants!$A$2:$D$41, 3, FALSE), "Merchant not found")</f>
        <v>entertainment</v>
      </c>
      <c r="E389" s="3" t="str">
        <f>IFERROR(VLOOKUP(B389, merchants!$A$2:$D$41, 4, FALSE), "Merchant not found")</f>
        <v>South</v>
      </c>
      <c r="F389" s="4">
        <f>ledger!D389</f>
        <v>46043.081944444442</v>
      </c>
      <c r="G389" s="5">
        <f>ledger!I389</f>
        <v>46043</v>
      </c>
      <c r="H389" s="3">
        <f>ledger!E389</f>
        <v>99</v>
      </c>
      <c r="I389" s="3" t="str">
        <f>ledger!F389</f>
        <v>Wallet</v>
      </c>
      <c r="J389" s="3" t="str">
        <f>ledger!G389</f>
        <v>captured</v>
      </c>
      <c r="K389" s="9">
        <f>HLOOKUP(I389,Fee!$B$1:$E$2,2,FALSE())</f>
        <v>1.4999999999999999E-2</v>
      </c>
      <c r="L389" s="12">
        <f t="shared" si="12"/>
        <v>1.4849999999999999</v>
      </c>
      <c r="M389" s="3">
        <f>SUMIFS(ledger!$E$2:$E$548, ledger!$C$2:$C$548, B389, ledger!$I$2:$I$548, G389)</f>
        <v>99</v>
      </c>
      <c r="N389" s="3" t="str">
        <f t="shared" si="13"/>
        <v>Standard</v>
      </c>
    </row>
    <row r="390" spans="1:14" x14ac:dyDescent="0.3">
      <c r="A390" s="3" t="str">
        <f>ledger!A390</f>
        <v>TXN100388</v>
      </c>
      <c r="B390" s="3">
        <f>ledger!C390</f>
        <v>12</v>
      </c>
      <c r="C390" s="4" t="str">
        <f>IFERROR(VLOOKUP(B390, merchants!$A$2:$D$41, 2, FALSE), "Merchant not found")</f>
        <v>Merchant_012</v>
      </c>
      <c r="D390" s="3" t="str">
        <f>IFERROR(VLOOKUP(B390, merchants!$A$2:$D$41, 3, FALSE), "Merchant not found")</f>
        <v>ecommerce</v>
      </c>
      <c r="E390" s="3" t="str">
        <f>IFERROR(VLOOKUP(B390, merchants!$A$2:$D$41, 4, FALSE), "Merchant not found")</f>
        <v>East</v>
      </c>
      <c r="F390" s="4">
        <f>ledger!D390</f>
        <v>46040.990277777775</v>
      </c>
      <c r="G390" s="5">
        <f>ledger!I390</f>
        <v>46040</v>
      </c>
      <c r="H390" s="3">
        <f>ledger!E390</f>
        <v>799</v>
      </c>
      <c r="I390" s="3" t="str">
        <f>ledger!F390</f>
        <v>Card</v>
      </c>
      <c r="J390" s="3" t="str">
        <f>ledger!G390</f>
        <v>captured</v>
      </c>
      <c r="K390" s="9">
        <f>HLOOKUP(I390,Fee!$B$1:$E$2,2,FALSE())</f>
        <v>0.02</v>
      </c>
      <c r="L390" s="12">
        <f t="shared" si="12"/>
        <v>15.98</v>
      </c>
      <c r="M390" s="3">
        <f>SUMIFS(ledger!$E$2:$E$548, ledger!$C$2:$C$548, B390, ledger!$I$2:$I$548, G390)</f>
        <v>799</v>
      </c>
      <c r="N390" s="3" t="str">
        <f t="shared" si="13"/>
        <v>Standard</v>
      </c>
    </row>
    <row r="391" spans="1:14" x14ac:dyDescent="0.3">
      <c r="A391" s="3" t="str">
        <f>ledger!A391</f>
        <v>TXN100389</v>
      </c>
      <c r="B391" s="3">
        <f>ledger!C391</f>
        <v>26</v>
      </c>
      <c r="C391" s="4" t="str">
        <f>IFERROR(VLOOKUP(B391, merchants!$A$2:$D$41, 2, FALSE), "Merchant not found")</f>
        <v>Merchant_026</v>
      </c>
      <c r="D391" s="3" t="str">
        <f>IFERROR(VLOOKUP(B391, merchants!$A$2:$D$41, 3, FALSE), "Merchant not found")</f>
        <v>food_delivery</v>
      </c>
      <c r="E391" s="3" t="str">
        <f>IFERROR(VLOOKUP(B391, merchants!$A$2:$D$41, 4, FALSE), "Merchant not found")</f>
        <v>East</v>
      </c>
      <c r="F391" s="4">
        <f>ledger!D391</f>
        <v>46051.249305555553</v>
      </c>
      <c r="G391" s="5">
        <f>ledger!I391</f>
        <v>46051</v>
      </c>
      <c r="H391" s="3">
        <f>ledger!E391</f>
        <v>49</v>
      </c>
      <c r="I391" s="3" t="str">
        <f>ledger!F391</f>
        <v>UPI</v>
      </c>
      <c r="J391" s="3" t="str">
        <f>ledger!G391</f>
        <v>captured</v>
      </c>
      <c r="K391" s="9">
        <f>HLOOKUP(I391,Fee!$B$1:$E$2,2,FALSE())</f>
        <v>5.0000000000000001E-3</v>
      </c>
      <c r="L391" s="12">
        <f t="shared" si="12"/>
        <v>0.245</v>
      </c>
      <c r="M391" s="3">
        <f>SUMIFS(ledger!$E$2:$E$548, ledger!$C$2:$C$548, B391, ledger!$I$2:$I$548, G391)</f>
        <v>148</v>
      </c>
      <c r="N391" s="3" t="str">
        <f t="shared" si="13"/>
        <v>Standard</v>
      </c>
    </row>
    <row r="392" spans="1:14" x14ac:dyDescent="0.3">
      <c r="A392" s="3" t="str">
        <f>ledger!A392</f>
        <v>TXN100390</v>
      </c>
      <c r="B392" s="3">
        <f>ledger!C392</f>
        <v>3</v>
      </c>
      <c r="C392" s="4" t="str">
        <f>IFERROR(VLOOKUP(B392, merchants!$A$2:$D$41, 2, FALSE), "Merchant not found")</f>
        <v>Merchant_003</v>
      </c>
      <c r="D392" s="3" t="str">
        <f>IFERROR(VLOOKUP(B392, merchants!$A$2:$D$41, 3, FALSE), "Merchant not found")</f>
        <v>grocery</v>
      </c>
      <c r="E392" s="3" t="str">
        <f>IFERROR(VLOOKUP(B392, merchants!$A$2:$D$41, 4, FALSE), "Merchant not found")</f>
        <v>East</v>
      </c>
      <c r="F392" s="4">
        <f>ledger!D392</f>
        <v>46038.249305555553</v>
      </c>
      <c r="G392" s="5">
        <f>ledger!I392</f>
        <v>46038</v>
      </c>
      <c r="H392" s="3">
        <f>ledger!E392</f>
        <v>4999</v>
      </c>
      <c r="I392" s="3" t="str">
        <f>ledger!F392</f>
        <v>Wallet</v>
      </c>
      <c r="J392" s="3" t="str">
        <f>ledger!G392</f>
        <v>captured</v>
      </c>
      <c r="K392" s="9">
        <f>HLOOKUP(I392,Fee!$B$1:$E$2,2,FALSE())</f>
        <v>1.4999999999999999E-2</v>
      </c>
      <c r="L392" s="12">
        <f t="shared" si="12"/>
        <v>74.984999999999999</v>
      </c>
      <c r="M392" s="3">
        <f>SUMIFS(ledger!$E$2:$E$548, ledger!$C$2:$C$548, B392, ledger!$I$2:$I$548, G392)</f>
        <v>4999</v>
      </c>
      <c r="N392" s="3" t="str">
        <f t="shared" si="13"/>
        <v>Standard</v>
      </c>
    </row>
    <row r="393" spans="1:14" x14ac:dyDescent="0.3">
      <c r="A393" s="3" t="str">
        <f>ledger!A393</f>
        <v>TXN100391</v>
      </c>
      <c r="B393" s="3">
        <f>ledger!C393</f>
        <v>22</v>
      </c>
      <c r="C393" s="4" t="str">
        <f>IFERROR(VLOOKUP(B393, merchants!$A$2:$D$41, 2, FALSE), "Merchant not found")</f>
        <v>Merchant_022</v>
      </c>
      <c r="D393" s="3" t="str">
        <f>IFERROR(VLOOKUP(B393, merchants!$A$2:$D$41, 3, FALSE), "Merchant not found")</f>
        <v>travel</v>
      </c>
      <c r="E393" s="3" t="str">
        <f>IFERROR(VLOOKUP(B393, merchants!$A$2:$D$41, 4, FALSE), "Merchant not found")</f>
        <v>South</v>
      </c>
      <c r="F393" s="4">
        <f>ledger!D393</f>
        <v>46032.776388888888</v>
      </c>
      <c r="G393" s="5">
        <f>ledger!I393</f>
        <v>46032</v>
      </c>
      <c r="H393" s="3">
        <f>ledger!E393</f>
        <v>499</v>
      </c>
      <c r="I393" s="3" t="str">
        <f>ledger!F393</f>
        <v>UPI</v>
      </c>
      <c r="J393" s="3" t="str">
        <f>ledger!G393</f>
        <v>captured</v>
      </c>
      <c r="K393" s="9">
        <f>HLOOKUP(I393,Fee!$B$1:$E$2,2,FALSE())</f>
        <v>5.0000000000000001E-3</v>
      </c>
      <c r="L393" s="12">
        <f t="shared" si="12"/>
        <v>2.4950000000000001</v>
      </c>
      <c r="M393" s="3">
        <f>SUMIFS(ledger!$E$2:$E$548, ledger!$C$2:$C$548, B393, ledger!$I$2:$I$548, G393)</f>
        <v>499</v>
      </c>
      <c r="N393" s="3" t="str">
        <f t="shared" si="13"/>
        <v>Standard</v>
      </c>
    </row>
    <row r="394" spans="1:14" x14ac:dyDescent="0.3">
      <c r="A394" s="3" t="str">
        <f>ledger!A394</f>
        <v>TXN100392</v>
      </c>
      <c r="B394" s="3">
        <f>ledger!C394</f>
        <v>32</v>
      </c>
      <c r="C394" s="4" t="str">
        <f>IFERROR(VLOOKUP(B394, merchants!$A$2:$D$41, 2, FALSE), "Merchant not found")</f>
        <v>Merchant_032</v>
      </c>
      <c r="D394" s="3" t="str">
        <f>IFERROR(VLOOKUP(B394, merchants!$A$2:$D$41, 3, FALSE), "Merchant not found")</f>
        <v>food_delivery</v>
      </c>
      <c r="E394" s="3" t="str">
        <f>IFERROR(VLOOKUP(B394, merchants!$A$2:$D$41, 4, FALSE), "Merchant not found")</f>
        <v>West</v>
      </c>
      <c r="F394" s="4">
        <f>ledger!D394</f>
        <v>46037.856944444444</v>
      </c>
      <c r="G394" s="5">
        <f>ledger!I394</f>
        <v>46037</v>
      </c>
      <c r="H394" s="3">
        <f>ledger!E394</f>
        <v>49</v>
      </c>
      <c r="I394" s="3" t="str">
        <f>ledger!F394</f>
        <v>Card</v>
      </c>
      <c r="J394" s="3" t="str">
        <f>ledger!G394</f>
        <v>captured</v>
      </c>
      <c r="K394" s="9">
        <f>HLOOKUP(I394,Fee!$B$1:$E$2,2,FALSE())</f>
        <v>0.02</v>
      </c>
      <c r="L394" s="12">
        <f t="shared" si="12"/>
        <v>0.98</v>
      </c>
      <c r="M394" s="3">
        <f>SUMIFS(ledger!$E$2:$E$548, ledger!$C$2:$C$548, B394, ledger!$I$2:$I$548, G394)</f>
        <v>148</v>
      </c>
      <c r="N394" s="3" t="str">
        <f t="shared" si="13"/>
        <v>Standard</v>
      </c>
    </row>
    <row r="395" spans="1:14" x14ac:dyDescent="0.3">
      <c r="A395" s="3" t="str">
        <f>ledger!A395</f>
        <v>TXN100393</v>
      </c>
      <c r="B395" s="3">
        <f>ledger!C395</f>
        <v>13</v>
      </c>
      <c r="C395" s="4" t="str">
        <f>IFERROR(VLOOKUP(B395, merchants!$A$2:$D$41, 2, FALSE), "Merchant not found")</f>
        <v>Merchant_013</v>
      </c>
      <c r="D395" s="3" t="str">
        <f>IFERROR(VLOOKUP(B395, merchants!$A$2:$D$41, 3, FALSE), "Merchant not found")</f>
        <v>travel</v>
      </c>
      <c r="E395" s="3" t="str">
        <f>IFERROR(VLOOKUP(B395, merchants!$A$2:$D$41, 4, FALSE), "Merchant not found")</f>
        <v>East</v>
      </c>
      <c r="F395" s="4">
        <f>ledger!D395</f>
        <v>46050.686805555553</v>
      </c>
      <c r="G395" s="5">
        <f>ledger!I395</f>
        <v>46050</v>
      </c>
      <c r="H395" s="3">
        <f>ledger!E395</f>
        <v>2999</v>
      </c>
      <c r="I395" s="3" t="str">
        <f>ledger!F395</f>
        <v>UPI</v>
      </c>
      <c r="J395" s="3" t="str">
        <f>ledger!G395</f>
        <v>captured</v>
      </c>
      <c r="K395" s="9">
        <f>HLOOKUP(I395,Fee!$B$1:$E$2,2,FALSE())</f>
        <v>5.0000000000000001E-3</v>
      </c>
      <c r="L395" s="12">
        <f t="shared" si="12"/>
        <v>14.995000000000001</v>
      </c>
      <c r="M395" s="3">
        <f>SUMIFS(ledger!$E$2:$E$548, ledger!$C$2:$C$548, B395, ledger!$I$2:$I$548, G395)</f>
        <v>2999</v>
      </c>
      <c r="N395" s="3" t="str">
        <f t="shared" si="13"/>
        <v>Standard</v>
      </c>
    </row>
    <row r="396" spans="1:14" x14ac:dyDescent="0.3">
      <c r="A396" s="3" t="str">
        <f>ledger!A396</f>
        <v>TXN100394</v>
      </c>
      <c r="B396" s="3">
        <f>ledger!C396</f>
        <v>17</v>
      </c>
      <c r="C396" s="4" t="str">
        <f>IFERROR(VLOOKUP(B396, merchants!$A$2:$D$41, 2, FALSE), "Merchant not found")</f>
        <v>Merchant_017</v>
      </c>
      <c r="D396" s="3" t="str">
        <f>IFERROR(VLOOKUP(B396, merchants!$A$2:$D$41, 3, FALSE), "Merchant not found")</f>
        <v>grocery</v>
      </c>
      <c r="E396" s="3" t="str">
        <f>IFERROR(VLOOKUP(B396, merchants!$A$2:$D$41, 4, FALSE), "Merchant not found")</f>
        <v>North</v>
      </c>
      <c r="F396" s="4">
        <f>ledger!D396</f>
        <v>46033.240277777775</v>
      </c>
      <c r="G396" s="5">
        <f>ledger!I396</f>
        <v>46033</v>
      </c>
      <c r="H396" s="3">
        <f>ledger!E396</f>
        <v>2999</v>
      </c>
      <c r="I396" s="3" t="str">
        <f>ledger!F396</f>
        <v>UPI</v>
      </c>
      <c r="J396" s="3" t="str">
        <f>ledger!G396</f>
        <v>captured</v>
      </c>
      <c r="K396" s="9">
        <f>HLOOKUP(I396,Fee!$B$1:$E$2,2,FALSE())</f>
        <v>5.0000000000000001E-3</v>
      </c>
      <c r="L396" s="12">
        <f t="shared" si="12"/>
        <v>14.995000000000001</v>
      </c>
      <c r="M396" s="3">
        <f>SUMIFS(ledger!$E$2:$E$548, ledger!$C$2:$C$548, B396, ledger!$I$2:$I$548, G396)</f>
        <v>7998</v>
      </c>
      <c r="N396" s="3" t="str">
        <f t="shared" si="13"/>
        <v>High Value</v>
      </c>
    </row>
    <row r="397" spans="1:14" x14ac:dyDescent="0.3">
      <c r="A397" s="3" t="str">
        <f>ledger!A397</f>
        <v>TXN100395</v>
      </c>
      <c r="B397" s="3">
        <f>ledger!C397</f>
        <v>19</v>
      </c>
      <c r="C397" s="4" t="str">
        <f>IFERROR(VLOOKUP(B397, merchants!$A$2:$D$41, 2, FALSE), "Merchant not found")</f>
        <v>Merchant_019</v>
      </c>
      <c r="D397" s="3" t="str">
        <f>IFERROR(VLOOKUP(B397, merchants!$A$2:$D$41, 3, FALSE), "Merchant not found")</f>
        <v>grocery</v>
      </c>
      <c r="E397" s="3" t="str">
        <f>IFERROR(VLOOKUP(B397, merchants!$A$2:$D$41, 4, FALSE), "Merchant not found")</f>
        <v>North</v>
      </c>
      <c r="F397" s="4">
        <f>ledger!D397</f>
        <v>46028.032638888886</v>
      </c>
      <c r="G397" s="5">
        <f>ledger!I397</f>
        <v>46028</v>
      </c>
      <c r="H397" s="3">
        <f>ledger!E397</f>
        <v>499</v>
      </c>
      <c r="I397" s="3" t="str">
        <f>ledger!F397</f>
        <v>UPI</v>
      </c>
      <c r="J397" s="3" t="str">
        <f>ledger!G397</f>
        <v>failed</v>
      </c>
      <c r="K397" s="9">
        <f>HLOOKUP(I397,Fee!$B$1:$E$2,2,FALSE())</f>
        <v>5.0000000000000001E-3</v>
      </c>
      <c r="L397" s="12">
        <f t="shared" si="12"/>
        <v>2.4950000000000001</v>
      </c>
      <c r="M397" s="3">
        <f>SUMIFS(ledger!$E$2:$E$548, ledger!$C$2:$C$548, B397, ledger!$I$2:$I$548, G397)</f>
        <v>499</v>
      </c>
      <c r="N397" s="3" t="str">
        <f t="shared" si="13"/>
        <v>Standard</v>
      </c>
    </row>
    <row r="398" spans="1:14" x14ac:dyDescent="0.3">
      <c r="A398" s="3" t="str">
        <f>ledger!A398</f>
        <v>TXN100396</v>
      </c>
      <c r="B398" s="3">
        <f>ledger!C398</f>
        <v>26</v>
      </c>
      <c r="C398" s="4" t="str">
        <f>IFERROR(VLOOKUP(B398, merchants!$A$2:$D$41, 2, FALSE), "Merchant not found")</f>
        <v>Merchant_026</v>
      </c>
      <c r="D398" s="3" t="str">
        <f>IFERROR(VLOOKUP(B398, merchants!$A$2:$D$41, 3, FALSE), "Merchant not found")</f>
        <v>food_delivery</v>
      </c>
      <c r="E398" s="3" t="str">
        <f>IFERROR(VLOOKUP(B398, merchants!$A$2:$D$41, 4, FALSE), "Merchant not found")</f>
        <v>East</v>
      </c>
      <c r="F398" s="4">
        <f>ledger!D398</f>
        <v>46044.257638888892</v>
      </c>
      <c r="G398" s="5">
        <f>ledger!I398</f>
        <v>46044</v>
      </c>
      <c r="H398" s="3">
        <f>ledger!E398</f>
        <v>499</v>
      </c>
      <c r="I398" s="3" t="str">
        <f>ledger!F398</f>
        <v>UPI</v>
      </c>
      <c r="J398" s="3" t="str">
        <f>ledger!G398</f>
        <v>captured</v>
      </c>
      <c r="K398" s="9">
        <f>HLOOKUP(I398,Fee!$B$1:$E$2,2,FALSE())</f>
        <v>5.0000000000000001E-3</v>
      </c>
      <c r="L398" s="12">
        <f t="shared" si="12"/>
        <v>2.4950000000000001</v>
      </c>
      <c r="M398" s="3">
        <f>SUMIFS(ledger!$E$2:$E$548, ledger!$C$2:$C$548, B398, ledger!$I$2:$I$548, G398)</f>
        <v>499</v>
      </c>
      <c r="N398" s="3" t="str">
        <f t="shared" si="13"/>
        <v>Standard</v>
      </c>
    </row>
    <row r="399" spans="1:14" x14ac:dyDescent="0.3">
      <c r="A399" s="3" t="str">
        <f>ledger!A399</f>
        <v>TXN100397</v>
      </c>
      <c r="B399" s="3">
        <f>ledger!C399</f>
        <v>7</v>
      </c>
      <c r="C399" s="4" t="str">
        <f>IFERROR(VLOOKUP(B399, merchants!$A$2:$D$41, 2, FALSE), "Merchant not found")</f>
        <v>Merchant_007</v>
      </c>
      <c r="D399" s="3" t="str">
        <f>IFERROR(VLOOKUP(B399, merchants!$A$2:$D$41, 3, FALSE), "Merchant not found")</f>
        <v>food_delivery</v>
      </c>
      <c r="E399" s="3" t="str">
        <f>IFERROR(VLOOKUP(B399, merchants!$A$2:$D$41, 4, FALSE), "Merchant not found")</f>
        <v>East</v>
      </c>
      <c r="F399" s="4">
        <f>ledger!D399</f>
        <v>46039.420138888891</v>
      </c>
      <c r="G399" s="5">
        <f>ledger!I399</f>
        <v>46039</v>
      </c>
      <c r="H399" s="3">
        <f>ledger!E399</f>
        <v>149</v>
      </c>
      <c r="I399" s="3" t="str">
        <f>ledger!F399</f>
        <v>Wallet</v>
      </c>
      <c r="J399" s="3" t="str">
        <f>ledger!G399</f>
        <v>captured</v>
      </c>
      <c r="K399" s="9">
        <f>HLOOKUP(I399,Fee!$B$1:$E$2,2,FALSE())</f>
        <v>1.4999999999999999E-2</v>
      </c>
      <c r="L399" s="12">
        <f t="shared" si="12"/>
        <v>2.2349999999999999</v>
      </c>
      <c r="M399" s="3">
        <f>SUMIFS(ledger!$E$2:$E$548, ledger!$C$2:$C$548, B399, ledger!$I$2:$I$548, G399)</f>
        <v>149</v>
      </c>
      <c r="N399" s="3" t="str">
        <f t="shared" si="13"/>
        <v>Standard</v>
      </c>
    </row>
    <row r="400" spans="1:14" x14ac:dyDescent="0.3">
      <c r="A400" s="3" t="str">
        <f>ledger!A400</f>
        <v>TXN100398</v>
      </c>
      <c r="B400" s="3">
        <f>ledger!C400</f>
        <v>1</v>
      </c>
      <c r="C400" s="4" t="str">
        <f>IFERROR(VLOOKUP(B400, merchants!$A$2:$D$41, 2, FALSE), "Merchant not found")</f>
        <v>Merchant_001</v>
      </c>
      <c r="D400" s="3" t="str">
        <f>IFERROR(VLOOKUP(B400, merchants!$A$2:$D$41, 3, FALSE), "Merchant not found")</f>
        <v>ecommerce</v>
      </c>
      <c r="E400" s="3" t="str">
        <f>IFERROR(VLOOKUP(B400, merchants!$A$2:$D$41, 4, FALSE), "Merchant not found")</f>
        <v>South</v>
      </c>
      <c r="F400" s="4">
        <f>ledger!D400</f>
        <v>46027.638888888891</v>
      </c>
      <c r="G400" s="5">
        <f>ledger!I400</f>
        <v>46027</v>
      </c>
      <c r="H400" s="3">
        <f>ledger!E400</f>
        <v>1499</v>
      </c>
      <c r="I400" s="3" t="str">
        <f>ledger!F400</f>
        <v>Netbanking</v>
      </c>
      <c r="J400" s="3" t="str">
        <f>ledger!G400</f>
        <v>captured</v>
      </c>
      <c r="K400" s="9">
        <f>HLOOKUP(I400,Fee!$B$1:$E$2,2,FALSE())</f>
        <v>1.7999999999999999E-2</v>
      </c>
      <c r="L400" s="12">
        <f t="shared" si="12"/>
        <v>26.981999999999999</v>
      </c>
      <c r="M400" s="3">
        <f>SUMIFS(ledger!$E$2:$E$548, ledger!$C$2:$C$548, B400, ledger!$I$2:$I$548, G400)</f>
        <v>1499</v>
      </c>
      <c r="N400" s="3" t="str">
        <f t="shared" si="13"/>
        <v>Standard</v>
      </c>
    </row>
    <row r="401" spans="1:14" x14ac:dyDescent="0.3">
      <c r="A401" s="3" t="str">
        <f>ledger!A401</f>
        <v>TXN100399</v>
      </c>
      <c r="B401" s="3">
        <f>ledger!C401</f>
        <v>22</v>
      </c>
      <c r="C401" s="4" t="str">
        <f>IFERROR(VLOOKUP(B401, merchants!$A$2:$D$41, 2, FALSE), "Merchant not found")</f>
        <v>Merchant_022</v>
      </c>
      <c r="D401" s="3" t="str">
        <f>IFERROR(VLOOKUP(B401, merchants!$A$2:$D$41, 3, FALSE), "Merchant not found")</f>
        <v>travel</v>
      </c>
      <c r="E401" s="3" t="str">
        <f>IFERROR(VLOOKUP(B401, merchants!$A$2:$D$41, 4, FALSE), "Merchant not found")</f>
        <v>South</v>
      </c>
      <c r="F401" s="4">
        <f>ledger!D401</f>
        <v>46035.311111111114</v>
      </c>
      <c r="G401" s="5">
        <f>ledger!I401</f>
        <v>46035</v>
      </c>
      <c r="H401" s="3">
        <f>ledger!E401</f>
        <v>799</v>
      </c>
      <c r="I401" s="3" t="str">
        <f>ledger!F401</f>
        <v>UPI</v>
      </c>
      <c r="J401" s="3" t="str">
        <f>ledger!G401</f>
        <v>failed</v>
      </c>
      <c r="K401" s="9">
        <f>HLOOKUP(I401,Fee!$B$1:$E$2,2,FALSE())</f>
        <v>5.0000000000000001E-3</v>
      </c>
      <c r="L401" s="12">
        <f t="shared" si="12"/>
        <v>3.9950000000000001</v>
      </c>
      <c r="M401" s="3">
        <f>SUMIFS(ledger!$E$2:$E$548, ledger!$C$2:$C$548, B401, ledger!$I$2:$I$548, G401)</f>
        <v>5798</v>
      </c>
      <c r="N401" s="3" t="str">
        <f t="shared" si="13"/>
        <v>High Value</v>
      </c>
    </row>
    <row r="402" spans="1:14" x14ac:dyDescent="0.3">
      <c r="A402" s="3" t="str">
        <f>ledger!A402</f>
        <v>TXN100400</v>
      </c>
      <c r="B402" s="3">
        <f>ledger!C402</f>
        <v>17</v>
      </c>
      <c r="C402" s="4" t="str">
        <f>IFERROR(VLOOKUP(B402, merchants!$A$2:$D$41, 2, FALSE), "Merchant not found")</f>
        <v>Merchant_017</v>
      </c>
      <c r="D402" s="3" t="str">
        <f>IFERROR(VLOOKUP(B402, merchants!$A$2:$D$41, 3, FALSE), "Merchant not found")</f>
        <v>grocery</v>
      </c>
      <c r="E402" s="3" t="str">
        <f>IFERROR(VLOOKUP(B402, merchants!$A$2:$D$41, 4, FALSE), "Merchant not found")</f>
        <v>North</v>
      </c>
      <c r="F402" s="4">
        <f>ledger!D402</f>
        <v>46041.98333333333</v>
      </c>
      <c r="G402" s="5">
        <f>ledger!I402</f>
        <v>46041</v>
      </c>
      <c r="H402" s="3">
        <f>ledger!E402</f>
        <v>49</v>
      </c>
      <c r="I402" s="3" t="str">
        <f>ledger!F402</f>
        <v>UPI</v>
      </c>
      <c r="J402" s="3" t="str">
        <f>ledger!G402</f>
        <v>captured</v>
      </c>
      <c r="K402" s="9">
        <f>HLOOKUP(I402,Fee!$B$1:$E$2,2,FALSE())</f>
        <v>5.0000000000000001E-3</v>
      </c>
      <c r="L402" s="12">
        <f t="shared" si="12"/>
        <v>0.245</v>
      </c>
      <c r="M402" s="3">
        <f>SUMIFS(ledger!$E$2:$E$548, ledger!$C$2:$C$548, B402, ledger!$I$2:$I$548, G402)</f>
        <v>49</v>
      </c>
      <c r="N402" s="3" t="str">
        <f t="shared" si="13"/>
        <v>Standard</v>
      </c>
    </row>
    <row r="403" spans="1:14" x14ac:dyDescent="0.3">
      <c r="A403" s="3" t="str">
        <f>ledger!A403</f>
        <v>TXN100401</v>
      </c>
      <c r="B403" s="3">
        <f>ledger!C403</f>
        <v>8</v>
      </c>
      <c r="C403" s="4" t="str">
        <f>IFERROR(VLOOKUP(B403, merchants!$A$2:$D$41, 2, FALSE), "Merchant not found")</f>
        <v>Merchant_008</v>
      </c>
      <c r="D403" s="3" t="str">
        <f>IFERROR(VLOOKUP(B403, merchants!$A$2:$D$41, 3, FALSE), "Merchant not found")</f>
        <v>food_delivery</v>
      </c>
      <c r="E403" s="3" t="str">
        <f>IFERROR(VLOOKUP(B403, merchants!$A$2:$D$41, 4, FALSE), "Merchant not found")</f>
        <v>North</v>
      </c>
      <c r="F403" s="4">
        <f>ledger!D403</f>
        <v>46034.927083333336</v>
      </c>
      <c r="G403" s="5">
        <f>ledger!I403</f>
        <v>46034</v>
      </c>
      <c r="H403" s="3">
        <f>ledger!E403</f>
        <v>299</v>
      </c>
      <c r="I403" s="3" t="str">
        <f>ledger!F403</f>
        <v>Card</v>
      </c>
      <c r="J403" s="3" t="str">
        <f>ledger!G403</f>
        <v>captured</v>
      </c>
      <c r="K403" s="9">
        <f>HLOOKUP(I403,Fee!$B$1:$E$2,2,FALSE())</f>
        <v>0.02</v>
      </c>
      <c r="L403" s="12">
        <f t="shared" si="12"/>
        <v>5.98</v>
      </c>
      <c r="M403" s="3">
        <f>SUMIFS(ledger!$E$2:$E$548, ledger!$C$2:$C$548, B403, ledger!$I$2:$I$548, G403)</f>
        <v>398</v>
      </c>
      <c r="N403" s="3" t="str">
        <f t="shared" si="13"/>
        <v>Standard</v>
      </c>
    </row>
    <row r="404" spans="1:14" x14ac:dyDescent="0.3">
      <c r="A404" s="3" t="str">
        <f>ledger!A404</f>
        <v>TXN100402</v>
      </c>
      <c r="B404" s="3">
        <f>ledger!C404</f>
        <v>20</v>
      </c>
      <c r="C404" s="4" t="str">
        <f>IFERROR(VLOOKUP(B404, merchants!$A$2:$D$41, 2, FALSE), "Merchant not found")</f>
        <v>Merchant_020</v>
      </c>
      <c r="D404" s="3" t="str">
        <f>IFERROR(VLOOKUP(B404, merchants!$A$2:$D$41, 3, FALSE), "Merchant not found")</f>
        <v>food_delivery</v>
      </c>
      <c r="E404" s="3" t="str">
        <f>IFERROR(VLOOKUP(B404, merchants!$A$2:$D$41, 4, FALSE), "Merchant not found")</f>
        <v>East</v>
      </c>
      <c r="F404" s="4">
        <f>ledger!D404</f>
        <v>46032.225694444445</v>
      </c>
      <c r="G404" s="5">
        <f>ledger!I404</f>
        <v>46032</v>
      </c>
      <c r="H404" s="3">
        <f>ledger!E404</f>
        <v>149</v>
      </c>
      <c r="I404" s="3" t="str">
        <f>ledger!F404</f>
        <v>UPI</v>
      </c>
      <c r="J404" s="3" t="str">
        <f>ledger!G404</f>
        <v>captured</v>
      </c>
      <c r="K404" s="9">
        <f>HLOOKUP(I404,Fee!$B$1:$E$2,2,FALSE())</f>
        <v>5.0000000000000001E-3</v>
      </c>
      <c r="L404" s="12">
        <f t="shared" si="12"/>
        <v>0.745</v>
      </c>
      <c r="M404" s="3">
        <f>SUMIFS(ledger!$E$2:$E$548, ledger!$C$2:$C$548, B404, ledger!$I$2:$I$548, G404)</f>
        <v>149</v>
      </c>
      <c r="N404" s="3" t="str">
        <f t="shared" si="13"/>
        <v>Standard</v>
      </c>
    </row>
    <row r="405" spans="1:14" x14ac:dyDescent="0.3">
      <c r="A405" s="3" t="str">
        <f>ledger!A405</f>
        <v>TXN100403</v>
      </c>
      <c r="B405" s="3">
        <f>ledger!C405</f>
        <v>24</v>
      </c>
      <c r="C405" s="4" t="str">
        <f>IFERROR(VLOOKUP(B405, merchants!$A$2:$D$41, 2, FALSE), "Merchant not found")</f>
        <v>Merchant_024</v>
      </c>
      <c r="D405" s="3" t="str">
        <f>IFERROR(VLOOKUP(B405, merchants!$A$2:$D$41, 3, FALSE), "Merchant not found")</f>
        <v>grocery</v>
      </c>
      <c r="E405" s="3" t="str">
        <f>IFERROR(VLOOKUP(B405, merchants!$A$2:$D$41, 4, FALSE), "Merchant not found")</f>
        <v>North</v>
      </c>
      <c r="F405" s="4">
        <f>ledger!D405</f>
        <v>46026.873611111114</v>
      </c>
      <c r="G405" s="5">
        <f>ledger!I405</f>
        <v>46026</v>
      </c>
      <c r="H405" s="3">
        <f>ledger!E405</f>
        <v>149</v>
      </c>
      <c r="I405" s="3" t="str">
        <f>ledger!F405</f>
        <v>UPI</v>
      </c>
      <c r="J405" s="3" t="str">
        <f>ledger!G405</f>
        <v>chargeback</v>
      </c>
      <c r="K405" s="9">
        <f>HLOOKUP(I405,Fee!$B$1:$E$2,2,FALSE())</f>
        <v>5.0000000000000001E-3</v>
      </c>
      <c r="L405" s="12">
        <f t="shared" si="12"/>
        <v>0.745</v>
      </c>
      <c r="M405" s="3">
        <f>SUMIFS(ledger!$E$2:$E$548, ledger!$C$2:$C$548, B405, ledger!$I$2:$I$548, G405)</f>
        <v>149</v>
      </c>
      <c r="N405" s="3" t="str">
        <f t="shared" si="13"/>
        <v>Standard</v>
      </c>
    </row>
    <row r="406" spans="1:14" x14ac:dyDescent="0.3">
      <c r="A406" s="3" t="str">
        <f>ledger!A406</f>
        <v>TXN100404</v>
      </c>
      <c r="B406" s="3">
        <f>ledger!C406</f>
        <v>10</v>
      </c>
      <c r="C406" s="4" t="str">
        <f>IFERROR(VLOOKUP(B406, merchants!$A$2:$D$41, 2, FALSE), "Merchant not found")</f>
        <v>Merchant_010</v>
      </c>
      <c r="D406" s="3" t="str">
        <f>IFERROR(VLOOKUP(B406, merchants!$A$2:$D$41, 3, FALSE), "Merchant not found")</f>
        <v>grocery</v>
      </c>
      <c r="E406" s="3" t="str">
        <f>IFERROR(VLOOKUP(B406, merchants!$A$2:$D$41, 4, FALSE), "Merchant not found")</f>
        <v>West</v>
      </c>
      <c r="F406" s="4">
        <f>ledger!D406</f>
        <v>46030.297222222223</v>
      </c>
      <c r="G406" s="5">
        <f>ledger!I406</f>
        <v>46030</v>
      </c>
      <c r="H406" s="3">
        <f>ledger!E406</f>
        <v>799</v>
      </c>
      <c r="I406" s="3" t="str">
        <f>ledger!F406</f>
        <v>Wallet</v>
      </c>
      <c r="J406" s="3" t="str">
        <f>ledger!G406</f>
        <v>captured</v>
      </c>
      <c r="K406" s="9">
        <f>HLOOKUP(I406,Fee!$B$1:$E$2,2,FALSE())</f>
        <v>1.4999999999999999E-2</v>
      </c>
      <c r="L406" s="12">
        <f t="shared" si="12"/>
        <v>11.984999999999999</v>
      </c>
      <c r="M406" s="3">
        <f>SUMIFS(ledger!$E$2:$E$548, ledger!$C$2:$C$548, B406, ledger!$I$2:$I$548, G406)</f>
        <v>799</v>
      </c>
      <c r="N406" s="3" t="str">
        <f t="shared" si="13"/>
        <v>Standard</v>
      </c>
    </row>
    <row r="407" spans="1:14" x14ac:dyDescent="0.3">
      <c r="A407" s="3" t="str">
        <f>ledger!A407</f>
        <v>TXN100405</v>
      </c>
      <c r="B407" s="3">
        <f>ledger!C407</f>
        <v>36</v>
      </c>
      <c r="C407" s="4" t="str">
        <f>IFERROR(VLOOKUP(B407, merchants!$A$2:$D$41, 2, FALSE), "Merchant not found")</f>
        <v>Merchant_036</v>
      </c>
      <c r="D407" s="3" t="str">
        <f>IFERROR(VLOOKUP(B407, merchants!$A$2:$D$41, 3, FALSE), "Merchant not found")</f>
        <v>entertainment</v>
      </c>
      <c r="E407" s="3" t="str">
        <f>IFERROR(VLOOKUP(B407, merchants!$A$2:$D$41, 4, FALSE), "Merchant not found")</f>
        <v>East</v>
      </c>
      <c r="F407" s="4">
        <f>ledger!D407</f>
        <v>46046.807638888888</v>
      </c>
      <c r="G407" s="5">
        <f>ledger!I407</f>
        <v>46046</v>
      </c>
      <c r="H407" s="3">
        <f>ledger!E407</f>
        <v>49</v>
      </c>
      <c r="I407" s="3" t="str">
        <f>ledger!F407</f>
        <v>Wallet</v>
      </c>
      <c r="J407" s="3" t="str">
        <f>ledger!G407</f>
        <v>captured</v>
      </c>
      <c r="K407" s="9">
        <f>HLOOKUP(I407,Fee!$B$1:$E$2,2,FALSE())</f>
        <v>1.4999999999999999E-2</v>
      </c>
      <c r="L407" s="12">
        <f t="shared" si="12"/>
        <v>0.73499999999999999</v>
      </c>
      <c r="M407" s="3">
        <f>SUMIFS(ledger!$E$2:$E$548, ledger!$C$2:$C$548, B407, ledger!$I$2:$I$548, G407)</f>
        <v>1647</v>
      </c>
      <c r="N407" s="3" t="str">
        <f t="shared" si="13"/>
        <v>Standard</v>
      </c>
    </row>
    <row r="408" spans="1:14" x14ac:dyDescent="0.3">
      <c r="A408" s="3" t="str">
        <f>ledger!A408</f>
        <v>TXN100406</v>
      </c>
      <c r="B408" s="3">
        <f>ledger!C408</f>
        <v>14</v>
      </c>
      <c r="C408" s="4" t="str">
        <f>IFERROR(VLOOKUP(B408, merchants!$A$2:$D$41, 2, FALSE), "Merchant not found")</f>
        <v>Merchant_014</v>
      </c>
      <c r="D408" s="3" t="str">
        <f>IFERROR(VLOOKUP(B408, merchants!$A$2:$D$41, 3, FALSE), "Merchant not found")</f>
        <v>grocery</v>
      </c>
      <c r="E408" s="3" t="str">
        <f>IFERROR(VLOOKUP(B408, merchants!$A$2:$D$41, 4, FALSE), "Merchant not found")</f>
        <v>East</v>
      </c>
      <c r="F408" s="4">
        <f>ledger!D408</f>
        <v>46047.743750000001</v>
      </c>
      <c r="G408" s="5">
        <f>ledger!I408</f>
        <v>46047</v>
      </c>
      <c r="H408" s="3">
        <f>ledger!E408</f>
        <v>99</v>
      </c>
      <c r="I408" s="3" t="str">
        <f>ledger!F408</f>
        <v>Netbanking</v>
      </c>
      <c r="J408" s="3" t="str">
        <f>ledger!G408</f>
        <v>captured</v>
      </c>
      <c r="K408" s="9">
        <f>HLOOKUP(I408,Fee!$B$1:$E$2,2,FALSE())</f>
        <v>1.7999999999999999E-2</v>
      </c>
      <c r="L408" s="12">
        <f t="shared" si="12"/>
        <v>1.7819999999999998</v>
      </c>
      <c r="M408" s="3">
        <f>SUMIFS(ledger!$E$2:$E$548, ledger!$C$2:$C$548, B408, ledger!$I$2:$I$548, G408)</f>
        <v>1598</v>
      </c>
      <c r="N408" s="3" t="str">
        <f t="shared" si="13"/>
        <v>Standard</v>
      </c>
    </row>
    <row r="409" spans="1:14" x14ac:dyDescent="0.3">
      <c r="A409" s="3" t="str">
        <f>ledger!A409</f>
        <v>TXN100407</v>
      </c>
      <c r="B409" s="3">
        <f>ledger!C409</f>
        <v>6</v>
      </c>
      <c r="C409" s="4" t="str">
        <f>IFERROR(VLOOKUP(B409, merchants!$A$2:$D$41, 2, FALSE), "Merchant not found")</f>
        <v>Merchant_006</v>
      </c>
      <c r="D409" s="3" t="str">
        <f>IFERROR(VLOOKUP(B409, merchants!$A$2:$D$41, 3, FALSE), "Merchant not found")</f>
        <v>food_delivery</v>
      </c>
      <c r="E409" s="3" t="str">
        <f>IFERROR(VLOOKUP(B409, merchants!$A$2:$D$41, 4, FALSE), "Merchant not found")</f>
        <v>South</v>
      </c>
      <c r="F409" s="4">
        <f>ledger!D409</f>
        <v>46030.908333333333</v>
      </c>
      <c r="G409" s="5">
        <f>ledger!I409</f>
        <v>46030</v>
      </c>
      <c r="H409" s="3">
        <f>ledger!E409</f>
        <v>149</v>
      </c>
      <c r="I409" s="3" t="str">
        <f>ledger!F409</f>
        <v>Netbanking</v>
      </c>
      <c r="J409" s="3" t="str">
        <f>ledger!G409</f>
        <v>captured</v>
      </c>
      <c r="K409" s="9">
        <f>HLOOKUP(I409,Fee!$B$1:$E$2,2,FALSE())</f>
        <v>1.7999999999999999E-2</v>
      </c>
      <c r="L409" s="12">
        <f t="shared" si="12"/>
        <v>2.6819999999999999</v>
      </c>
      <c r="M409" s="3">
        <f>SUMIFS(ledger!$E$2:$E$548, ledger!$C$2:$C$548, B409, ledger!$I$2:$I$548, G409)</f>
        <v>149</v>
      </c>
      <c r="N409" s="3" t="str">
        <f t="shared" si="13"/>
        <v>Standard</v>
      </c>
    </row>
    <row r="410" spans="1:14" x14ac:dyDescent="0.3">
      <c r="A410" s="3" t="str">
        <f>ledger!A410</f>
        <v>TXN100408</v>
      </c>
      <c r="B410" s="3">
        <f>ledger!C410</f>
        <v>5</v>
      </c>
      <c r="C410" s="4" t="str">
        <f>IFERROR(VLOOKUP(B410, merchants!$A$2:$D$41, 2, FALSE), "Merchant not found")</f>
        <v>Merchant_005</v>
      </c>
      <c r="D410" s="3" t="str">
        <f>IFERROR(VLOOKUP(B410, merchants!$A$2:$D$41, 3, FALSE), "Merchant not found")</f>
        <v>recharge</v>
      </c>
      <c r="E410" s="3" t="str">
        <f>IFERROR(VLOOKUP(B410, merchants!$A$2:$D$41, 4, FALSE), "Merchant not found")</f>
        <v>South</v>
      </c>
      <c r="F410" s="4">
        <f>ledger!D410</f>
        <v>46037.697916666664</v>
      </c>
      <c r="G410" s="5">
        <f>ledger!I410</f>
        <v>46037</v>
      </c>
      <c r="H410" s="3">
        <f>ledger!E410</f>
        <v>499</v>
      </c>
      <c r="I410" s="3" t="str">
        <f>ledger!F410</f>
        <v>UPI</v>
      </c>
      <c r="J410" s="3" t="str">
        <f>ledger!G410</f>
        <v>captured</v>
      </c>
      <c r="K410" s="9">
        <f>HLOOKUP(I410,Fee!$B$1:$E$2,2,FALSE())</f>
        <v>5.0000000000000001E-3</v>
      </c>
      <c r="L410" s="12">
        <f t="shared" si="12"/>
        <v>2.4950000000000001</v>
      </c>
      <c r="M410" s="3">
        <f>SUMIFS(ledger!$E$2:$E$548, ledger!$C$2:$C$548, B410, ledger!$I$2:$I$548, G410)</f>
        <v>548</v>
      </c>
      <c r="N410" s="3" t="str">
        <f t="shared" si="13"/>
        <v>Standard</v>
      </c>
    </row>
    <row r="411" spans="1:14" x14ac:dyDescent="0.3">
      <c r="A411" s="3" t="str">
        <f>ledger!A411</f>
        <v>TXN100409</v>
      </c>
      <c r="B411" s="3">
        <f>ledger!C411</f>
        <v>33</v>
      </c>
      <c r="C411" s="4" t="str">
        <f>IFERROR(VLOOKUP(B411, merchants!$A$2:$D$41, 2, FALSE), "Merchant not found")</f>
        <v>Merchant_033</v>
      </c>
      <c r="D411" s="3" t="str">
        <f>IFERROR(VLOOKUP(B411, merchants!$A$2:$D$41, 3, FALSE), "Merchant not found")</f>
        <v>bill_payment</v>
      </c>
      <c r="E411" s="3" t="str">
        <f>IFERROR(VLOOKUP(B411, merchants!$A$2:$D$41, 4, FALSE), "Merchant not found")</f>
        <v>East</v>
      </c>
      <c r="F411" s="4">
        <f>ledger!D411</f>
        <v>46026.078472222223</v>
      </c>
      <c r="G411" s="5">
        <f>ledger!I411</f>
        <v>46026</v>
      </c>
      <c r="H411" s="3">
        <f>ledger!E411</f>
        <v>4999</v>
      </c>
      <c r="I411" s="3" t="str">
        <f>ledger!F411</f>
        <v>UPI</v>
      </c>
      <c r="J411" s="3" t="str">
        <f>ledger!G411</f>
        <v>captured</v>
      </c>
      <c r="K411" s="9">
        <f>HLOOKUP(I411,Fee!$B$1:$E$2,2,FALSE())</f>
        <v>5.0000000000000001E-3</v>
      </c>
      <c r="L411" s="12">
        <f t="shared" si="12"/>
        <v>24.995000000000001</v>
      </c>
      <c r="M411" s="3">
        <f>SUMIFS(ledger!$E$2:$E$548, ledger!$C$2:$C$548, B411, ledger!$I$2:$I$548, G411)</f>
        <v>4999</v>
      </c>
      <c r="N411" s="3" t="str">
        <f t="shared" si="13"/>
        <v>Standard</v>
      </c>
    </row>
    <row r="412" spans="1:14" x14ac:dyDescent="0.3">
      <c r="A412" s="3" t="str">
        <f>ledger!A412</f>
        <v>TXN100410</v>
      </c>
      <c r="B412" s="3">
        <f>ledger!C412</f>
        <v>21</v>
      </c>
      <c r="C412" s="4" t="str">
        <f>IFERROR(VLOOKUP(B412, merchants!$A$2:$D$41, 2, FALSE), "Merchant not found")</f>
        <v>Merchant_021</v>
      </c>
      <c r="D412" s="3" t="str">
        <f>IFERROR(VLOOKUP(B412, merchants!$A$2:$D$41, 3, FALSE), "Merchant not found")</f>
        <v>food_delivery</v>
      </c>
      <c r="E412" s="3" t="str">
        <f>IFERROR(VLOOKUP(B412, merchants!$A$2:$D$41, 4, FALSE), "Merchant not found")</f>
        <v>East</v>
      </c>
      <c r="F412" s="4">
        <f>ledger!D412</f>
        <v>46041.714583333334</v>
      </c>
      <c r="G412" s="5">
        <f>ledger!I412</f>
        <v>46041</v>
      </c>
      <c r="H412" s="3">
        <f>ledger!E412</f>
        <v>99</v>
      </c>
      <c r="I412" s="3" t="str">
        <f>ledger!F412</f>
        <v>UPI</v>
      </c>
      <c r="J412" s="3" t="str">
        <f>ledger!G412</f>
        <v>captured</v>
      </c>
      <c r="K412" s="9">
        <f>HLOOKUP(I412,Fee!$B$1:$E$2,2,FALSE())</f>
        <v>5.0000000000000001E-3</v>
      </c>
      <c r="L412" s="12">
        <f t="shared" si="12"/>
        <v>0.495</v>
      </c>
      <c r="M412" s="3">
        <f>SUMIFS(ledger!$E$2:$E$548, ledger!$C$2:$C$548, B412, ledger!$I$2:$I$548, G412)</f>
        <v>99</v>
      </c>
      <c r="N412" s="3" t="str">
        <f t="shared" si="13"/>
        <v>Standard</v>
      </c>
    </row>
    <row r="413" spans="1:14" x14ac:dyDescent="0.3">
      <c r="A413" s="3" t="str">
        <f>ledger!A413</f>
        <v>TXN100411</v>
      </c>
      <c r="B413" s="3">
        <f>ledger!C413</f>
        <v>38</v>
      </c>
      <c r="C413" s="4" t="str">
        <f>IFERROR(VLOOKUP(B413, merchants!$A$2:$D$41, 2, FALSE), "Merchant not found")</f>
        <v>Merchant_038</v>
      </c>
      <c r="D413" s="3" t="str">
        <f>IFERROR(VLOOKUP(B413, merchants!$A$2:$D$41, 3, FALSE), "Merchant not found")</f>
        <v>grocery</v>
      </c>
      <c r="E413" s="3" t="str">
        <f>IFERROR(VLOOKUP(B413, merchants!$A$2:$D$41, 4, FALSE), "Merchant not found")</f>
        <v>East</v>
      </c>
      <c r="F413" s="4">
        <f>ledger!D413</f>
        <v>46037.154861111114</v>
      </c>
      <c r="G413" s="5">
        <f>ledger!I413</f>
        <v>46037</v>
      </c>
      <c r="H413" s="3">
        <f>ledger!E413</f>
        <v>499</v>
      </c>
      <c r="I413" s="3" t="str">
        <f>ledger!F413</f>
        <v>UPI</v>
      </c>
      <c r="J413" s="3" t="str">
        <f>ledger!G413</f>
        <v>captured</v>
      </c>
      <c r="K413" s="9">
        <f>HLOOKUP(I413,Fee!$B$1:$E$2,2,FALSE())</f>
        <v>5.0000000000000001E-3</v>
      </c>
      <c r="L413" s="12">
        <f t="shared" si="12"/>
        <v>2.4950000000000001</v>
      </c>
      <c r="M413" s="3">
        <f>SUMIFS(ledger!$E$2:$E$548, ledger!$C$2:$C$548, B413, ledger!$I$2:$I$548, G413)</f>
        <v>499</v>
      </c>
      <c r="N413" s="3" t="str">
        <f t="shared" si="13"/>
        <v>Standard</v>
      </c>
    </row>
    <row r="414" spans="1:14" x14ac:dyDescent="0.3">
      <c r="A414" s="3" t="str">
        <f>ledger!A414</f>
        <v>TXN100412</v>
      </c>
      <c r="B414" s="3">
        <f>ledger!C414</f>
        <v>30</v>
      </c>
      <c r="C414" s="4" t="str">
        <f>IFERROR(VLOOKUP(B414, merchants!$A$2:$D$41, 2, FALSE), "Merchant not found")</f>
        <v>Merchant_030</v>
      </c>
      <c r="D414" s="3" t="str">
        <f>IFERROR(VLOOKUP(B414, merchants!$A$2:$D$41, 3, FALSE), "Merchant not found")</f>
        <v>travel</v>
      </c>
      <c r="E414" s="3" t="str">
        <f>IFERROR(VLOOKUP(B414, merchants!$A$2:$D$41, 4, FALSE), "Merchant not found")</f>
        <v>West</v>
      </c>
      <c r="F414" s="4">
        <f>ledger!D414</f>
        <v>46025.686111111114</v>
      </c>
      <c r="G414" s="5">
        <f>ledger!I414</f>
        <v>46025</v>
      </c>
      <c r="H414" s="3">
        <f>ledger!E414</f>
        <v>149</v>
      </c>
      <c r="I414" s="3" t="str">
        <f>ledger!F414</f>
        <v>Netbanking</v>
      </c>
      <c r="J414" s="3" t="str">
        <f>ledger!G414</f>
        <v>captured</v>
      </c>
      <c r="K414" s="9">
        <f>HLOOKUP(I414,Fee!$B$1:$E$2,2,FALSE())</f>
        <v>1.7999999999999999E-2</v>
      </c>
      <c r="L414" s="12">
        <f t="shared" si="12"/>
        <v>2.6819999999999999</v>
      </c>
      <c r="M414" s="3">
        <f>SUMIFS(ledger!$E$2:$E$548, ledger!$C$2:$C$548, B414, ledger!$I$2:$I$548, G414)</f>
        <v>149</v>
      </c>
      <c r="N414" s="3" t="str">
        <f t="shared" si="13"/>
        <v>Standard</v>
      </c>
    </row>
    <row r="415" spans="1:14" x14ac:dyDescent="0.3">
      <c r="A415" s="3" t="str">
        <f>ledger!A415</f>
        <v>TXN100413</v>
      </c>
      <c r="B415" s="3">
        <f>ledger!C415</f>
        <v>4</v>
      </c>
      <c r="C415" s="4" t="str">
        <f>IFERROR(VLOOKUP(B415, merchants!$A$2:$D$41, 2, FALSE), "Merchant not found")</f>
        <v>Merchant_004</v>
      </c>
      <c r="D415" s="3" t="str">
        <f>IFERROR(VLOOKUP(B415, merchants!$A$2:$D$41, 3, FALSE), "Merchant not found")</f>
        <v>ecommerce</v>
      </c>
      <c r="E415" s="3" t="str">
        <f>IFERROR(VLOOKUP(B415, merchants!$A$2:$D$41, 4, FALSE), "Merchant not found")</f>
        <v>East</v>
      </c>
      <c r="F415" s="4">
        <f>ledger!D415</f>
        <v>46039.561805555553</v>
      </c>
      <c r="G415" s="5">
        <f>ledger!I415</f>
        <v>46039</v>
      </c>
      <c r="H415" s="3">
        <f>ledger!E415</f>
        <v>1499</v>
      </c>
      <c r="I415" s="3" t="str">
        <f>ledger!F415</f>
        <v>Card</v>
      </c>
      <c r="J415" s="3" t="str">
        <f>ledger!G415</f>
        <v>captured</v>
      </c>
      <c r="K415" s="9">
        <f>HLOOKUP(I415,Fee!$B$1:$E$2,2,FALSE())</f>
        <v>0.02</v>
      </c>
      <c r="L415" s="12">
        <f t="shared" si="12"/>
        <v>29.98</v>
      </c>
      <c r="M415" s="3">
        <f>SUMIFS(ledger!$E$2:$E$548, ledger!$C$2:$C$548, B415, ledger!$I$2:$I$548, G415)</f>
        <v>1499</v>
      </c>
      <c r="N415" s="3" t="str">
        <f t="shared" si="13"/>
        <v>Standard</v>
      </c>
    </row>
    <row r="416" spans="1:14" x14ac:dyDescent="0.3">
      <c r="A416" s="3" t="str">
        <f>ledger!A416</f>
        <v>TXN100414</v>
      </c>
      <c r="B416" s="3">
        <f>ledger!C416</f>
        <v>2</v>
      </c>
      <c r="C416" s="4" t="str">
        <f>IFERROR(VLOOKUP(B416, merchants!$A$2:$D$41, 2, FALSE), "Merchant not found")</f>
        <v>Merchant_002</v>
      </c>
      <c r="D416" s="3" t="str">
        <f>IFERROR(VLOOKUP(B416, merchants!$A$2:$D$41, 3, FALSE), "Merchant not found")</f>
        <v>grocery</v>
      </c>
      <c r="E416" s="3" t="str">
        <f>IFERROR(VLOOKUP(B416, merchants!$A$2:$D$41, 4, FALSE), "Merchant not found")</f>
        <v>West</v>
      </c>
      <c r="F416" s="4">
        <f>ledger!D416</f>
        <v>46037.910416666666</v>
      </c>
      <c r="G416" s="5">
        <f>ledger!I416</f>
        <v>46037</v>
      </c>
      <c r="H416" s="3">
        <f>ledger!E416</f>
        <v>1499</v>
      </c>
      <c r="I416" s="3" t="str">
        <f>ledger!F416</f>
        <v>Card</v>
      </c>
      <c r="J416" s="3" t="str">
        <f>ledger!G416</f>
        <v>captured</v>
      </c>
      <c r="K416" s="9">
        <f>HLOOKUP(I416,Fee!$B$1:$E$2,2,FALSE())</f>
        <v>0.02</v>
      </c>
      <c r="L416" s="12">
        <f t="shared" si="12"/>
        <v>29.98</v>
      </c>
      <c r="M416" s="3">
        <f>SUMIFS(ledger!$E$2:$E$548, ledger!$C$2:$C$548, B416, ledger!$I$2:$I$548, G416)</f>
        <v>1499</v>
      </c>
      <c r="N416" s="3" t="str">
        <f t="shared" si="13"/>
        <v>Standard</v>
      </c>
    </row>
    <row r="417" spans="1:14" x14ac:dyDescent="0.3">
      <c r="A417" s="3" t="str">
        <f>ledger!A417</f>
        <v>TXN100415</v>
      </c>
      <c r="B417" s="3">
        <f>ledger!C417</f>
        <v>38</v>
      </c>
      <c r="C417" s="4" t="str">
        <f>IFERROR(VLOOKUP(B417, merchants!$A$2:$D$41, 2, FALSE), "Merchant not found")</f>
        <v>Merchant_038</v>
      </c>
      <c r="D417" s="3" t="str">
        <f>IFERROR(VLOOKUP(B417, merchants!$A$2:$D$41, 3, FALSE), "Merchant not found")</f>
        <v>grocery</v>
      </c>
      <c r="E417" s="3" t="str">
        <f>IFERROR(VLOOKUP(B417, merchants!$A$2:$D$41, 4, FALSE), "Merchant not found")</f>
        <v>East</v>
      </c>
      <c r="F417" s="4">
        <f>ledger!D417</f>
        <v>46031.032638888886</v>
      </c>
      <c r="G417" s="5">
        <f>ledger!I417</f>
        <v>46031</v>
      </c>
      <c r="H417" s="3">
        <f>ledger!E417</f>
        <v>49</v>
      </c>
      <c r="I417" s="3" t="str">
        <f>ledger!F417</f>
        <v>UPI</v>
      </c>
      <c r="J417" s="3" t="str">
        <f>ledger!G417</f>
        <v>captured</v>
      </c>
      <c r="K417" s="9">
        <f>HLOOKUP(I417,Fee!$B$1:$E$2,2,FALSE())</f>
        <v>5.0000000000000001E-3</v>
      </c>
      <c r="L417" s="12">
        <f t="shared" si="12"/>
        <v>0.245</v>
      </c>
      <c r="M417" s="3">
        <f>SUMIFS(ledger!$E$2:$E$548, ledger!$C$2:$C$548, B417, ledger!$I$2:$I$548, G417)</f>
        <v>348</v>
      </c>
      <c r="N417" s="3" t="str">
        <f t="shared" si="13"/>
        <v>Standard</v>
      </c>
    </row>
    <row r="418" spans="1:14" x14ac:dyDescent="0.3">
      <c r="A418" s="3" t="str">
        <f>ledger!A418</f>
        <v>TXN100416</v>
      </c>
      <c r="B418" s="3">
        <f>ledger!C418</f>
        <v>35</v>
      </c>
      <c r="C418" s="4" t="str">
        <f>IFERROR(VLOOKUP(B418, merchants!$A$2:$D$41, 2, FALSE), "Merchant not found")</f>
        <v>Merchant_035</v>
      </c>
      <c r="D418" s="3" t="str">
        <f>IFERROR(VLOOKUP(B418, merchants!$A$2:$D$41, 3, FALSE), "Merchant not found")</f>
        <v>recharge</v>
      </c>
      <c r="E418" s="3" t="str">
        <f>IFERROR(VLOOKUP(B418, merchants!$A$2:$D$41, 4, FALSE), "Merchant not found")</f>
        <v>East</v>
      </c>
      <c r="F418" s="4">
        <f>ledger!D418</f>
        <v>46024.556944444441</v>
      </c>
      <c r="G418" s="5">
        <f>ledger!I418</f>
        <v>46024</v>
      </c>
      <c r="H418" s="3">
        <f>ledger!E418</f>
        <v>299</v>
      </c>
      <c r="I418" s="3" t="str">
        <f>ledger!F418</f>
        <v>Card</v>
      </c>
      <c r="J418" s="3" t="str">
        <f>ledger!G418</f>
        <v>failed</v>
      </c>
      <c r="K418" s="9">
        <f>HLOOKUP(I418,Fee!$B$1:$E$2,2,FALSE())</f>
        <v>0.02</v>
      </c>
      <c r="L418" s="12">
        <f t="shared" si="12"/>
        <v>5.98</v>
      </c>
      <c r="M418" s="3">
        <f>SUMIFS(ledger!$E$2:$E$548, ledger!$C$2:$C$548, B418, ledger!$I$2:$I$548, G418)</f>
        <v>1847</v>
      </c>
      <c r="N418" s="3" t="str">
        <f t="shared" si="13"/>
        <v>Standard</v>
      </c>
    </row>
    <row r="419" spans="1:14" x14ac:dyDescent="0.3">
      <c r="A419" s="3" t="str">
        <f>ledger!A419</f>
        <v>TXN100417</v>
      </c>
      <c r="B419" s="3">
        <f>ledger!C419</f>
        <v>3</v>
      </c>
      <c r="C419" s="4" t="str">
        <f>IFERROR(VLOOKUP(B419, merchants!$A$2:$D$41, 2, FALSE), "Merchant not found")</f>
        <v>Merchant_003</v>
      </c>
      <c r="D419" s="3" t="str">
        <f>IFERROR(VLOOKUP(B419, merchants!$A$2:$D$41, 3, FALSE), "Merchant not found")</f>
        <v>grocery</v>
      </c>
      <c r="E419" s="3" t="str">
        <f>IFERROR(VLOOKUP(B419, merchants!$A$2:$D$41, 4, FALSE), "Merchant not found")</f>
        <v>East</v>
      </c>
      <c r="F419" s="4">
        <f>ledger!D419</f>
        <v>46052.124305555553</v>
      </c>
      <c r="G419" s="5">
        <f>ledger!I419</f>
        <v>46052</v>
      </c>
      <c r="H419" s="3">
        <f>ledger!E419</f>
        <v>49</v>
      </c>
      <c r="I419" s="3" t="str">
        <f>ledger!F419</f>
        <v>UPI</v>
      </c>
      <c r="J419" s="3" t="str">
        <f>ledger!G419</f>
        <v>captured</v>
      </c>
      <c r="K419" s="9">
        <f>HLOOKUP(I419,Fee!$B$1:$E$2,2,FALSE())</f>
        <v>5.0000000000000001E-3</v>
      </c>
      <c r="L419" s="12">
        <f t="shared" si="12"/>
        <v>0.245</v>
      </c>
      <c r="M419" s="3">
        <f>SUMIFS(ledger!$E$2:$E$548, ledger!$C$2:$C$548, B419, ledger!$I$2:$I$548, G419)</f>
        <v>49</v>
      </c>
      <c r="N419" s="3" t="str">
        <f t="shared" si="13"/>
        <v>Standard</v>
      </c>
    </row>
    <row r="420" spans="1:14" x14ac:dyDescent="0.3">
      <c r="A420" s="3" t="str">
        <f>ledger!A420</f>
        <v>TXN100418</v>
      </c>
      <c r="B420" s="3">
        <f>ledger!C420</f>
        <v>27</v>
      </c>
      <c r="C420" s="4" t="str">
        <f>IFERROR(VLOOKUP(B420, merchants!$A$2:$D$41, 2, FALSE), "Merchant not found")</f>
        <v>Merchant_027</v>
      </c>
      <c r="D420" s="3" t="str">
        <f>IFERROR(VLOOKUP(B420, merchants!$A$2:$D$41, 3, FALSE), "Merchant not found")</f>
        <v>ecommerce</v>
      </c>
      <c r="E420" s="3" t="str">
        <f>IFERROR(VLOOKUP(B420, merchants!$A$2:$D$41, 4, FALSE), "Merchant not found")</f>
        <v>North</v>
      </c>
      <c r="F420" s="4">
        <f>ledger!D420</f>
        <v>46036.242361111108</v>
      </c>
      <c r="G420" s="5">
        <f>ledger!I420</f>
        <v>46036</v>
      </c>
      <c r="H420" s="3">
        <f>ledger!E420</f>
        <v>149</v>
      </c>
      <c r="I420" s="3" t="str">
        <f>ledger!F420</f>
        <v>UPI</v>
      </c>
      <c r="J420" s="3" t="str">
        <f>ledger!G420</f>
        <v>captured</v>
      </c>
      <c r="K420" s="9">
        <f>HLOOKUP(I420,Fee!$B$1:$E$2,2,FALSE())</f>
        <v>5.0000000000000001E-3</v>
      </c>
      <c r="L420" s="12">
        <f t="shared" si="12"/>
        <v>0.745</v>
      </c>
      <c r="M420" s="3">
        <f>SUMIFS(ledger!$E$2:$E$548, ledger!$C$2:$C$548, B420, ledger!$I$2:$I$548, G420)</f>
        <v>149</v>
      </c>
      <c r="N420" s="3" t="str">
        <f t="shared" si="13"/>
        <v>Standard</v>
      </c>
    </row>
    <row r="421" spans="1:14" x14ac:dyDescent="0.3">
      <c r="A421" s="3" t="str">
        <f>ledger!A421</f>
        <v>TXN100419</v>
      </c>
      <c r="B421" s="3">
        <f>ledger!C421</f>
        <v>25</v>
      </c>
      <c r="C421" s="4" t="str">
        <f>IFERROR(VLOOKUP(B421, merchants!$A$2:$D$41, 2, FALSE), "Merchant not found")</f>
        <v>Merchant_025</v>
      </c>
      <c r="D421" s="3" t="str">
        <f>IFERROR(VLOOKUP(B421, merchants!$A$2:$D$41, 3, FALSE), "Merchant not found")</f>
        <v>travel</v>
      </c>
      <c r="E421" s="3" t="str">
        <f>IFERROR(VLOOKUP(B421, merchants!$A$2:$D$41, 4, FALSE), "Merchant not found")</f>
        <v>South</v>
      </c>
      <c r="F421" s="4">
        <f>ledger!D421</f>
        <v>46051.519444444442</v>
      </c>
      <c r="G421" s="5">
        <f>ledger!I421</f>
        <v>46051</v>
      </c>
      <c r="H421" s="3">
        <f>ledger!E421</f>
        <v>49</v>
      </c>
      <c r="I421" s="3" t="str">
        <f>ledger!F421</f>
        <v>Wallet</v>
      </c>
      <c r="J421" s="3" t="str">
        <f>ledger!G421</f>
        <v>captured</v>
      </c>
      <c r="K421" s="9">
        <f>HLOOKUP(I421,Fee!$B$1:$E$2,2,FALSE())</f>
        <v>1.4999999999999999E-2</v>
      </c>
      <c r="L421" s="12">
        <f t="shared" si="12"/>
        <v>0.73499999999999999</v>
      </c>
      <c r="M421" s="3">
        <f>SUMIFS(ledger!$E$2:$E$548, ledger!$C$2:$C$548, B421, ledger!$I$2:$I$548, G421)</f>
        <v>3048</v>
      </c>
      <c r="N421" s="3" t="str">
        <f t="shared" si="13"/>
        <v>Standard</v>
      </c>
    </row>
    <row r="422" spans="1:14" x14ac:dyDescent="0.3">
      <c r="A422" s="3" t="str">
        <f>ledger!A422</f>
        <v>TXN100420</v>
      </c>
      <c r="B422" s="3">
        <f>ledger!C422</f>
        <v>9</v>
      </c>
      <c r="C422" s="4" t="str">
        <f>IFERROR(VLOOKUP(B422, merchants!$A$2:$D$41, 2, FALSE), "Merchant not found")</f>
        <v>Merchant_009</v>
      </c>
      <c r="D422" s="3" t="str">
        <f>IFERROR(VLOOKUP(B422, merchants!$A$2:$D$41, 3, FALSE), "Merchant not found")</f>
        <v>ecommerce</v>
      </c>
      <c r="E422" s="3" t="str">
        <f>IFERROR(VLOOKUP(B422, merchants!$A$2:$D$41, 4, FALSE), "Merchant not found")</f>
        <v>North</v>
      </c>
      <c r="F422" s="4">
        <f>ledger!D422</f>
        <v>46044.913194444445</v>
      </c>
      <c r="G422" s="5">
        <f>ledger!I422</f>
        <v>46044</v>
      </c>
      <c r="H422" s="3">
        <f>ledger!E422</f>
        <v>799</v>
      </c>
      <c r="I422" s="3" t="str">
        <f>ledger!F422</f>
        <v>UPI</v>
      </c>
      <c r="J422" s="3" t="str">
        <f>ledger!G422</f>
        <v>captured</v>
      </c>
      <c r="K422" s="9">
        <f>HLOOKUP(I422,Fee!$B$1:$E$2,2,FALSE())</f>
        <v>5.0000000000000001E-3</v>
      </c>
      <c r="L422" s="12">
        <f t="shared" si="12"/>
        <v>3.9950000000000001</v>
      </c>
      <c r="M422" s="3">
        <f>SUMIFS(ledger!$E$2:$E$548, ledger!$C$2:$C$548, B422, ledger!$I$2:$I$548, G422)</f>
        <v>1298</v>
      </c>
      <c r="N422" s="3" t="str">
        <f t="shared" si="13"/>
        <v>Standard</v>
      </c>
    </row>
    <row r="423" spans="1:14" x14ac:dyDescent="0.3">
      <c r="A423" s="3" t="str">
        <f>ledger!A423</f>
        <v>TXN100421</v>
      </c>
      <c r="B423" s="3">
        <f>ledger!C423</f>
        <v>35</v>
      </c>
      <c r="C423" s="4" t="str">
        <f>IFERROR(VLOOKUP(B423, merchants!$A$2:$D$41, 2, FALSE), "Merchant not found")</f>
        <v>Merchant_035</v>
      </c>
      <c r="D423" s="3" t="str">
        <f>IFERROR(VLOOKUP(B423, merchants!$A$2:$D$41, 3, FALSE), "Merchant not found")</f>
        <v>recharge</v>
      </c>
      <c r="E423" s="3" t="str">
        <f>IFERROR(VLOOKUP(B423, merchants!$A$2:$D$41, 4, FALSE), "Merchant not found")</f>
        <v>East</v>
      </c>
      <c r="F423" s="4">
        <f>ledger!D423</f>
        <v>46050.463194444441</v>
      </c>
      <c r="G423" s="5">
        <f>ledger!I423</f>
        <v>46050</v>
      </c>
      <c r="H423" s="3">
        <f>ledger!E423</f>
        <v>49</v>
      </c>
      <c r="I423" s="3" t="str">
        <f>ledger!F423</f>
        <v>UPI</v>
      </c>
      <c r="J423" s="3" t="str">
        <f>ledger!G423</f>
        <v>captured</v>
      </c>
      <c r="K423" s="9">
        <f>HLOOKUP(I423,Fee!$B$1:$E$2,2,FALSE())</f>
        <v>5.0000000000000001E-3</v>
      </c>
      <c r="L423" s="12">
        <f t="shared" si="12"/>
        <v>0.245</v>
      </c>
      <c r="M423" s="3">
        <f>SUMIFS(ledger!$E$2:$E$548, ledger!$C$2:$C$548, B423, ledger!$I$2:$I$548, G423)</f>
        <v>49</v>
      </c>
      <c r="N423" s="3" t="str">
        <f t="shared" si="13"/>
        <v>Standard</v>
      </c>
    </row>
    <row r="424" spans="1:14" x14ac:dyDescent="0.3">
      <c r="A424" s="3" t="str">
        <f>ledger!A424</f>
        <v>TXN100422</v>
      </c>
      <c r="B424" s="3">
        <f>ledger!C424</f>
        <v>1</v>
      </c>
      <c r="C424" s="4" t="str">
        <f>IFERROR(VLOOKUP(B424, merchants!$A$2:$D$41, 2, FALSE), "Merchant not found")</f>
        <v>Merchant_001</v>
      </c>
      <c r="D424" s="3" t="str">
        <f>IFERROR(VLOOKUP(B424, merchants!$A$2:$D$41, 3, FALSE), "Merchant not found")</f>
        <v>ecommerce</v>
      </c>
      <c r="E424" s="3" t="str">
        <f>IFERROR(VLOOKUP(B424, merchants!$A$2:$D$41, 4, FALSE), "Merchant not found")</f>
        <v>South</v>
      </c>
      <c r="F424" s="4">
        <f>ledger!D424</f>
        <v>46039.198611111111</v>
      </c>
      <c r="G424" s="5">
        <f>ledger!I424</f>
        <v>46039</v>
      </c>
      <c r="H424" s="3">
        <f>ledger!E424</f>
        <v>149</v>
      </c>
      <c r="I424" s="3" t="str">
        <f>ledger!F424</f>
        <v>Wallet</v>
      </c>
      <c r="J424" s="3" t="str">
        <f>ledger!G424</f>
        <v>captured</v>
      </c>
      <c r="K424" s="9">
        <f>HLOOKUP(I424,Fee!$B$1:$E$2,2,FALSE())</f>
        <v>1.4999999999999999E-2</v>
      </c>
      <c r="L424" s="12">
        <f t="shared" si="12"/>
        <v>2.2349999999999999</v>
      </c>
      <c r="M424" s="3">
        <f>SUMIFS(ledger!$E$2:$E$548, ledger!$C$2:$C$548, B424, ledger!$I$2:$I$548, G424)</f>
        <v>149</v>
      </c>
      <c r="N424" s="3" t="str">
        <f t="shared" si="13"/>
        <v>Standard</v>
      </c>
    </row>
    <row r="425" spans="1:14" x14ac:dyDescent="0.3">
      <c r="A425" s="3" t="str">
        <f>ledger!A425</f>
        <v>TXN100423</v>
      </c>
      <c r="B425" s="3">
        <f>ledger!C425</f>
        <v>35</v>
      </c>
      <c r="C425" s="4" t="str">
        <f>IFERROR(VLOOKUP(B425, merchants!$A$2:$D$41, 2, FALSE), "Merchant not found")</f>
        <v>Merchant_035</v>
      </c>
      <c r="D425" s="3" t="str">
        <f>IFERROR(VLOOKUP(B425, merchants!$A$2:$D$41, 3, FALSE), "Merchant not found")</f>
        <v>recharge</v>
      </c>
      <c r="E425" s="3" t="str">
        <f>IFERROR(VLOOKUP(B425, merchants!$A$2:$D$41, 4, FALSE), "Merchant not found")</f>
        <v>East</v>
      </c>
      <c r="F425" s="4">
        <f>ledger!D425</f>
        <v>46023.395138888889</v>
      </c>
      <c r="G425" s="5">
        <f>ledger!I425</f>
        <v>46023</v>
      </c>
      <c r="H425" s="3">
        <f>ledger!E425</f>
        <v>499</v>
      </c>
      <c r="I425" s="3" t="str">
        <f>ledger!F425</f>
        <v>Card</v>
      </c>
      <c r="J425" s="3" t="str">
        <f>ledger!G425</f>
        <v>captured</v>
      </c>
      <c r="K425" s="9">
        <f>HLOOKUP(I425,Fee!$B$1:$E$2,2,FALSE())</f>
        <v>0.02</v>
      </c>
      <c r="L425" s="12">
        <f t="shared" si="12"/>
        <v>9.98</v>
      </c>
      <c r="M425" s="3">
        <f>SUMIFS(ledger!$E$2:$E$548, ledger!$C$2:$C$548, B425, ledger!$I$2:$I$548, G425)</f>
        <v>798</v>
      </c>
      <c r="N425" s="3" t="str">
        <f t="shared" si="13"/>
        <v>Standard</v>
      </c>
    </row>
    <row r="426" spans="1:14" x14ac:dyDescent="0.3">
      <c r="A426" s="3" t="str">
        <f>ledger!A426</f>
        <v>TXN100424</v>
      </c>
      <c r="B426" s="3">
        <f>ledger!C426</f>
        <v>16</v>
      </c>
      <c r="C426" s="4" t="str">
        <f>IFERROR(VLOOKUP(B426, merchants!$A$2:$D$41, 2, FALSE), "Merchant not found")</f>
        <v>Merchant_016</v>
      </c>
      <c r="D426" s="3" t="str">
        <f>IFERROR(VLOOKUP(B426, merchants!$A$2:$D$41, 3, FALSE), "Merchant not found")</f>
        <v>bill_payment</v>
      </c>
      <c r="E426" s="3" t="str">
        <f>IFERROR(VLOOKUP(B426, merchants!$A$2:$D$41, 4, FALSE), "Merchant not found")</f>
        <v>West</v>
      </c>
      <c r="F426" s="4">
        <f>ledger!D426</f>
        <v>46040.536111111112</v>
      </c>
      <c r="G426" s="5">
        <f>ledger!I426</f>
        <v>46040</v>
      </c>
      <c r="H426" s="3">
        <f>ledger!E426</f>
        <v>49</v>
      </c>
      <c r="I426" s="3" t="str">
        <f>ledger!F426</f>
        <v>UPI</v>
      </c>
      <c r="J426" s="3" t="str">
        <f>ledger!G426</f>
        <v>captured</v>
      </c>
      <c r="K426" s="9">
        <f>HLOOKUP(I426,Fee!$B$1:$E$2,2,FALSE())</f>
        <v>5.0000000000000001E-3</v>
      </c>
      <c r="L426" s="12">
        <f t="shared" si="12"/>
        <v>0.245</v>
      </c>
      <c r="M426" s="3">
        <f>SUMIFS(ledger!$E$2:$E$548, ledger!$C$2:$C$548, B426, ledger!$I$2:$I$548, G426)</f>
        <v>49</v>
      </c>
      <c r="N426" s="3" t="str">
        <f t="shared" si="13"/>
        <v>Standard</v>
      </c>
    </row>
    <row r="427" spans="1:14" x14ac:dyDescent="0.3">
      <c r="A427" s="3" t="str">
        <f>ledger!A427</f>
        <v>TXN100425</v>
      </c>
      <c r="B427" s="3">
        <f>ledger!C427</f>
        <v>8</v>
      </c>
      <c r="C427" s="4" t="str">
        <f>IFERROR(VLOOKUP(B427, merchants!$A$2:$D$41, 2, FALSE), "Merchant not found")</f>
        <v>Merchant_008</v>
      </c>
      <c r="D427" s="3" t="str">
        <f>IFERROR(VLOOKUP(B427, merchants!$A$2:$D$41, 3, FALSE), "Merchant not found")</f>
        <v>food_delivery</v>
      </c>
      <c r="E427" s="3" t="str">
        <f>IFERROR(VLOOKUP(B427, merchants!$A$2:$D$41, 4, FALSE), "Merchant not found")</f>
        <v>North</v>
      </c>
      <c r="F427" s="4">
        <f>ledger!D427</f>
        <v>46034.178472222222</v>
      </c>
      <c r="G427" s="5">
        <f>ledger!I427</f>
        <v>46034</v>
      </c>
      <c r="H427" s="3">
        <f>ledger!E427</f>
        <v>99</v>
      </c>
      <c r="I427" s="3" t="str">
        <f>ledger!F427</f>
        <v>Netbanking</v>
      </c>
      <c r="J427" s="3" t="str">
        <f>ledger!G427</f>
        <v>captured</v>
      </c>
      <c r="K427" s="9">
        <f>HLOOKUP(I427,Fee!$B$1:$E$2,2,FALSE())</f>
        <v>1.7999999999999999E-2</v>
      </c>
      <c r="L427" s="12">
        <f t="shared" si="12"/>
        <v>1.7819999999999998</v>
      </c>
      <c r="M427" s="3">
        <f>SUMIFS(ledger!$E$2:$E$548, ledger!$C$2:$C$548, B427, ledger!$I$2:$I$548, G427)</f>
        <v>398</v>
      </c>
      <c r="N427" s="3" t="str">
        <f t="shared" si="13"/>
        <v>Standard</v>
      </c>
    </row>
    <row r="428" spans="1:14" x14ac:dyDescent="0.3">
      <c r="A428" s="3" t="str">
        <f>ledger!A428</f>
        <v>TXN100426</v>
      </c>
      <c r="B428" s="3">
        <f>ledger!C428</f>
        <v>2</v>
      </c>
      <c r="C428" s="4" t="str">
        <f>IFERROR(VLOOKUP(B428, merchants!$A$2:$D$41, 2, FALSE), "Merchant not found")</f>
        <v>Merchant_002</v>
      </c>
      <c r="D428" s="3" t="str">
        <f>IFERROR(VLOOKUP(B428, merchants!$A$2:$D$41, 3, FALSE), "Merchant not found")</f>
        <v>grocery</v>
      </c>
      <c r="E428" s="3" t="str">
        <f>IFERROR(VLOOKUP(B428, merchants!$A$2:$D$41, 4, FALSE), "Merchant not found")</f>
        <v>West</v>
      </c>
      <c r="F428" s="4">
        <f>ledger!D428</f>
        <v>46048.893055555556</v>
      </c>
      <c r="G428" s="5">
        <f>ledger!I428</f>
        <v>46048</v>
      </c>
      <c r="H428" s="3">
        <f>ledger!E428</f>
        <v>299</v>
      </c>
      <c r="I428" s="3" t="str">
        <f>ledger!F428</f>
        <v>Wallet</v>
      </c>
      <c r="J428" s="3" t="str">
        <f>ledger!G428</f>
        <v>captured</v>
      </c>
      <c r="K428" s="9">
        <f>HLOOKUP(I428,Fee!$B$1:$E$2,2,FALSE())</f>
        <v>1.4999999999999999E-2</v>
      </c>
      <c r="L428" s="12">
        <f t="shared" si="12"/>
        <v>4.4849999999999994</v>
      </c>
      <c r="M428" s="3">
        <f>SUMIFS(ledger!$E$2:$E$548, ledger!$C$2:$C$548, B428, ledger!$I$2:$I$548, G428)</f>
        <v>299</v>
      </c>
      <c r="N428" s="3" t="str">
        <f t="shared" si="13"/>
        <v>Standard</v>
      </c>
    </row>
    <row r="429" spans="1:14" x14ac:dyDescent="0.3">
      <c r="A429" s="3" t="str">
        <f>ledger!A429</f>
        <v>TXN100427</v>
      </c>
      <c r="B429" s="3">
        <f>ledger!C429</f>
        <v>3</v>
      </c>
      <c r="C429" s="4" t="str">
        <f>IFERROR(VLOOKUP(B429, merchants!$A$2:$D$41, 2, FALSE), "Merchant not found")</f>
        <v>Merchant_003</v>
      </c>
      <c r="D429" s="3" t="str">
        <f>IFERROR(VLOOKUP(B429, merchants!$A$2:$D$41, 3, FALSE), "Merchant not found")</f>
        <v>grocery</v>
      </c>
      <c r="E429" s="3" t="str">
        <f>IFERROR(VLOOKUP(B429, merchants!$A$2:$D$41, 4, FALSE), "Merchant not found")</f>
        <v>East</v>
      </c>
      <c r="F429" s="4">
        <f>ledger!D429</f>
        <v>46029.087500000001</v>
      </c>
      <c r="G429" s="5">
        <f>ledger!I429</f>
        <v>46029</v>
      </c>
      <c r="H429" s="3">
        <f>ledger!E429</f>
        <v>299</v>
      </c>
      <c r="I429" s="3" t="str">
        <f>ledger!F429</f>
        <v>UPI</v>
      </c>
      <c r="J429" s="3" t="str">
        <f>ledger!G429</f>
        <v>captured</v>
      </c>
      <c r="K429" s="9">
        <f>HLOOKUP(I429,Fee!$B$1:$E$2,2,FALSE())</f>
        <v>5.0000000000000001E-3</v>
      </c>
      <c r="L429" s="12">
        <f t="shared" si="12"/>
        <v>1.4950000000000001</v>
      </c>
      <c r="M429" s="3">
        <f>SUMIFS(ledger!$E$2:$E$548, ledger!$C$2:$C$548, B429, ledger!$I$2:$I$548, G429)</f>
        <v>798</v>
      </c>
      <c r="N429" s="3" t="str">
        <f t="shared" si="13"/>
        <v>Standard</v>
      </c>
    </row>
    <row r="430" spans="1:14" x14ac:dyDescent="0.3">
      <c r="A430" s="3" t="str">
        <f>ledger!A430</f>
        <v>TXN100428</v>
      </c>
      <c r="B430" s="3">
        <f>ledger!C430</f>
        <v>16</v>
      </c>
      <c r="C430" s="4" t="str">
        <f>IFERROR(VLOOKUP(B430, merchants!$A$2:$D$41, 2, FALSE), "Merchant not found")</f>
        <v>Merchant_016</v>
      </c>
      <c r="D430" s="3" t="str">
        <f>IFERROR(VLOOKUP(B430, merchants!$A$2:$D$41, 3, FALSE), "Merchant not found")</f>
        <v>bill_payment</v>
      </c>
      <c r="E430" s="3" t="str">
        <f>IFERROR(VLOOKUP(B430, merchants!$A$2:$D$41, 4, FALSE), "Merchant not found")</f>
        <v>West</v>
      </c>
      <c r="F430" s="4">
        <f>ledger!D430</f>
        <v>46042.90625</v>
      </c>
      <c r="G430" s="5">
        <f>ledger!I430</f>
        <v>46042</v>
      </c>
      <c r="H430" s="3">
        <f>ledger!E430</f>
        <v>299</v>
      </c>
      <c r="I430" s="3" t="str">
        <f>ledger!F430</f>
        <v>UPI</v>
      </c>
      <c r="J430" s="3" t="str">
        <f>ledger!G430</f>
        <v>captured</v>
      </c>
      <c r="K430" s="9">
        <f>HLOOKUP(I430,Fee!$B$1:$E$2,2,FALSE())</f>
        <v>5.0000000000000001E-3</v>
      </c>
      <c r="L430" s="12">
        <f t="shared" si="12"/>
        <v>1.4950000000000001</v>
      </c>
      <c r="M430" s="3">
        <f>SUMIFS(ledger!$E$2:$E$548, ledger!$C$2:$C$548, B430, ledger!$I$2:$I$548, G430)</f>
        <v>448</v>
      </c>
      <c r="N430" s="3" t="str">
        <f t="shared" si="13"/>
        <v>Standard</v>
      </c>
    </row>
    <row r="431" spans="1:14" x14ac:dyDescent="0.3">
      <c r="A431" s="3" t="str">
        <f>ledger!A431</f>
        <v>TXN100429</v>
      </c>
      <c r="B431" s="3">
        <f>ledger!C431</f>
        <v>35</v>
      </c>
      <c r="C431" s="4" t="str">
        <f>IFERROR(VLOOKUP(B431, merchants!$A$2:$D$41, 2, FALSE), "Merchant not found")</f>
        <v>Merchant_035</v>
      </c>
      <c r="D431" s="3" t="str">
        <f>IFERROR(VLOOKUP(B431, merchants!$A$2:$D$41, 3, FALSE), "Merchant not found")</f>
        <v>recharge</v>
      </c>
      <c r="E431" s="3" t="str">
        <f>IFERROR(VLOOKUP(B431, merchants!$A$2:$D$41, 4, FALSE), "Merchant not found")</f>
        <v>East</v>
      </c>
      <c r="F431" s="4">
        <f>ledger!D431</f>
        <v>46024.519444444442</v>
      </c>
      <c r="G431" s="5">
        <f>ledger!I431</f>
        <v>46024</v>
      </c>
      <c r="H431" s="3">
        <f>ledger!E431</f>
        <v>49</v>
      </c>
      <c r="I431" s="3" t="str">
        <f>ledger!F431</f>
        <v>UPI</v>
      </c>
      <c r="J431" s="3" t="str">
        <f>ledger!G431</f>
        <v>captured</v>
      </c>
      <c r="K431" s="9">
        <f>HLOOKUP(I431,Fee!$B$1:$E$2,2,FALSE())</f>
        <v>5.0000000000000001E-3</v>
      </c>
      <c r="L431" s="12">
        <f t="shared" si="12"/>
        <v>0.245</v>
      </c>
      <c r="M431" s="3">
        <f>SUMIFS(ledger!$E$2:$E$548, ledger!$C$2:$C$548, B431, ledger!$I$2:$I$548, G431)</f>
        <v>1847</v>
      </c>
      <c r="N431" s="3" t="str">
        <f t="shared" si="13"/>
        <v>Standard</v>
      </c>
    </row>
    <row r="432" spans="1:14" x14ac:dyDescent="0.3">
      <c r="A432" s="3" t="str">
        <f>ledger!A432</f>
        <v>TXN100430</v>
      </c>
      <c r="B432" s="3">
        <f>ledger!C432</f>
        <v>19</v>
      </c>
      <c r="C432" s="4" t="str">
        <f>IFERROR(VLOOKUP(B432, merchants!$A$2:$D$41, 2, FALSE), "Merchant not found")</f>
        <v>Merchant_019</v>
      </c>
      <c r="D432" s="3" t="str">
        <f>IFERROR(VLOOKUP(B432, merchants!$A$2:$D$41, 3, FALSE), "Merchant not found")</f>
        <v>grocery</v>
      </c>
      <c r="E432" s="3" t="str">
        <f>IFERROR(VLOOKUP(B432, merchants!$A$2:$D$41, 4, FALSE), "Merchant not found")</f>
        <v>North</v>
      </c>
      <c r="F432" s="4">
        <f>ledger!D432</f>
        <v>46047.047222222223</v>
      </c>
      <c r="G432" s="5">
        <f>ledger!I432</f>
        <v>46047</v>
      </c>
      <c r="H432" s="3">
        <f>ledger!E432</f>
        <v>49</v>
      </c>
      <c r="I432" s="3" t="str">
        <f>ledger!F432</f>
        <v>Wallet</v>
      </c>
      <c r="J432" s="3" t="str">
        <f>ledger!G432</f>
        <v>captured</v>
      </c>
      <c r="K432" s="9">
        <f>HLOOKUP(I432,Fee!$B$1:$E$2,2,FALSE())</f>
        <v>1.4999999999999999E-2</v>
      </c>
      <c r="L432" s="12">
        <f t="shared" si="12"/>
        <v>0.73499999999999999</v>
      </c>
      <c r="M432" s="3">
        <f>SUMIFS(ledger!$E$2:$E$548, ledger!$C$2:$C$548, B432, ledger!$I$2:$I$548, G432)</f>
        <v>49</v>
      </c>
      <c r="N432" s="3" t="str">
        <f t="shared" si="13"/>
        <v>Standard</v>
      </c>
    </row>
    <row r="433" spans="1:14" x14ac:dyDescent="0.3">
      <c r="A433" s="3" t="str">
        <f>ledger!A433</f>
        <v>TXN100431</v>
      </c>
      <c r="B433" s="3">
        <f>ledger!C433</f>
        <v>37</v>
      </c>
      <c r="C433" s="4" t="str">
        <f>IFERROR(VLOOKUP(B433, merchants!$A$2:$D$41, 2, FALSE), "Merchant not found")</f>
        <v>Merchant_037</v>
      </c>
      <c r="D433" s="3" t="str">
        <f>IFERROR(VLOOKUP(B433, merchants!$A$2:$D$41, 3, FALSE), "Merchant not found")</f>
        <v>entertainment</v>
      </c>
      <c r="E433" s="3" t="str">
        <f>IFERROR(VLOOKUP(B433, merchants!$A$2:$D$41, 4, FALSE), "Merchant not found")</f>
        <v>South</v>
      </c>
      <c r="F433" s="4">
        <f>ledger!D433</f>
        <v>46049.98333333333</v>
      </c>
      <c r="G433" s="5">
        <f>ledger!I433</f>
        <v>46049</v>
      </c>
      <c r="H433" s="3">
        <f>ledger!E433</f>
        <v>799</v>
      </c>
      <c r="I433" s="3" t="str">
        <f>ledger!F433</f>
        <v>UPI</v>
      </c>
      <c r="J433" s="3" t="str">
        <f>ledger!G433</f>
        <v>captured</v>
      </c>
      <c r="K433" s="9">
        <f>HLOOKUP(I433,Fee!$B$1:$E$2,2,FALSE())</f>
        <v>5.0000000000000001E-3</v>
      </c>
      <c r="L433" s="12">
        <f t="shared" si="12"/>
        <v>3.9950000000000001</v>
      </c>
      <c r="M433" s="3">
        <f>SUMIFS(ledger!$E$2:$E$548, ledger!$C$2:$C$548, B433, ledger!$I$2:$I$548, G433)</f>
        <v>799</v>
      </c>
      <c r="N433" s="3" t="str">
        <f t="shared" si="13"/>
        <v>Standard</v>
      </c>
    </row>
    <row r="434" spans="1:14" x14ac:dyDescent="0.3">
      <c r="A434" s="3" t="str">
        <f>ledger!A434</f>
        <v>TXN100432</v>
      </c>
      <c r="B434" s="3">
        <f>ledger!C434</f>
        <v>16</v>
      </c>
      <c r="C434" s="4" t="str">
        <f>IFERROR(VLOOKUP(B434, merchants!$A$2:$D$41, 2, FALSE), "Merchant not found")</f>
        <v>Merchant_016</v>
      </c>
      <c r="D434" s="3" t="str">
        <f>IFERROR(VLOOKUP(B434, merchants!$A$2:$D$41, 3, FALSE), "Merchant not found")</f>
        <v>bill_payment</v>
      </c>
      <c r="E434" s="3" t="str">
        <f>IFERROR(VLOOKUP(B434, merchants!$A$2:$D$41, 4, FALSE), "Merchant not found")</f>
        <v>West</v>
      </c>
      <c r="F434" s="4">
        <f>ledger!D434</f>
        <v>46047.911111111112</v>
      </c>
      <c r="G434" s="5">
        <f>ledger!I434</f>
        <v>46047</v>
      </c>
      <c r="H434" s="3">
        <f>ledger!E434</f>
        <v>49</v>
      </c>
      <c r="I434" s="3" t="str">
        <f>ledger!F434</f>
        <v>Wallet</v>
      </c>
      <c r="J434" s="3" t="str">
        <f>ledger!G434</f>
        <v>captured</v>
      </c>
      <c r="K434" s="9">
        <f>HLOOKUP(I434,Fee!$B$1:$E$2,2,FALSE())</f>
        <v>1.4999999999999999E-2</v>
      </c>
      <c r="L434" s="12">
        <f t="shared" si="12"/>
        <v>0.73499999999999999</v>
      </c>
      <c r="M434" s="3">
        <f>SUMIFS(ledger!$E$2:$E$548, ledger!$C$2:$C$548, B434, ledger!$I$2:$I$548, G434)</f>
        <v>98</v>
      </c>
      <c r="N434" s="3" t="str">
        <f t="shared" si="13"/>
        <v>Standard</v>
      </c>
    </row>
    <row r="435" spans="1:14" x14ac:dyDescent="0.3">
      <c r="A435" s="3" t="str">
        <f>ledger!A435</f>
        <v>TXN100433</v>
      </c>
      <c r="B435" s="3">
        <f>ledger!C435</f>
        <v>15</v>
      </c>
      <c r="C435" s="4" t="str">
        <f>IFERROR(VLOOKUP(B435, merchants!$A$2:$D$41, 2, FALSE), "Merchant not found")</f>
        <v>Merchant_015</v>
      </c>
      <c r="D435" s="3" t="str">
        <f>IFERROR(VLOOKUP(B435, merchants!$A$2:$D$41, 3, FALSE), "Merchant not found")</f>
        <v>travel</v>
      </c>
      <c r="E435" s="3" t="str">
        <f>IFERROR(VLOOKUP(B435, merchants!$A$2:$D$41, 4, FALSE), "Merchant not found")</f>
        <v>North</v>
      </c>
      <c r="F435" s="4">
        <f>ledger!D435</f>
        <v>46051.195833333331</v>
      </c>
      <c r="G435" s="5">
        <f>ledger!I435</f>
        <v>46051</v>
      </c>
      <c r="H435" s="3">
        <f>ledger!E435</f>
        <v>49</v>
      </c>
      <c r="I435" s="3" t="str">
        <f>ledger!F435</f>
        <v>Netbanking</v>
      </c>
      <c r="J435" s="3" t="str">
        <f>ledger!G435</f>
        <v>captured</v>
      </c>
      <c r="K435" s="9">
        <f>HLOOKUP(I435,Fee!$B$1:$E$2,2,FALSE())</f>
        <v>1.7999999999999999E-2</v>
      </c>
      <c r="L435" s="12">
        <f t="shared" si="12"/>
        <v>0.8819999999999999</v>
      </c>
      <c r="M435" s="3">
        <f>SUMIFS(ledger!$E$2:$E$548, ledger!$C$2:$C$548, B435, ledger!$I$2:$I$548, G435)</f>
        <v>98</v>
      </c>
      <c r="N435" s="3" t="str">
        <f t="shared" si="13"/>
        <v>Standard</v>
      </c>
    </row>
    <row r="436" spans="1:14" x14ac:dyDescent="0.3">
      <c r="A436" s="3" t="str">
        <f>ledger!A436</f>
        <v>TXN100434</v>
      </c>
      <c r="B436" s="3">
        <f>ledger!C436</f>
        <v>38</v>
      </c>
      <c r="C436" s="4" t="str">
        <f>IFERROR(VLOOKUP(B436, merchants!$A$2:$D$41, 2, FALSE), "Merchant not found")</f>
        <v>Merchant_038</v>
      </c>
      <c r="D436" s="3" t="str">
        <f>IFERROR(VLOOKUP(B436, merchants!$A$2:$D$41, 3, FALSE), "Merchant not found")</f>
        <v>grocery</v>
      </c>
      <c r="E436" s="3" t="str">
        <f>IFERROR(VLOOKUP(B436, merchants!$A$2:$D$41, 4, FALSE), "Merchant not found")</f>
        <v>East</v>
      </c>
      <c r="F436" s="4">
        <f>ledger!D436</f>
        <v>46032.335416666669</v>
      </c>
      <c r="G436" s="5">
        <f>ledger!I436</f>
        <v>46032</v>
      </c>
      <c r="H436" s="3">
        <f>ledger!E436</f>
        <v>299</v>
      </c>
      <c r="I436" s="3" t="str">
        <f>ledger!F436</f>
        <v>Wallet</v>
      </c>
      <c r="J436" s="3" t="str">
        <f>ledger!G436</f>
        <v>captured</v>
      </c>
      <c r="K436" s="9">
        <f>HLOOKUP(I436,Fee!$B$1:$E$2,2,FALSE())</f>
        <v>1.4999999999999999E-2</v>
      </c>
      <c r="L436" s="12">
        <f t="shared" si="12"/>
        <v>4.4849999999999994</v>
      </c>
      <c r="M436" s="3">
        <f>SUMIFS(ledger!$E$2:$E$548, ledger!$C$2:$C$548, B436, ledger!$I$2:$I$548, G436)</f>
        <v>398</v>
      </c>
      <c r="N436" s="3" t="str">
        <f t="shared" si="13"/>
        <v>Standard</v>
      </c>
    </row>
    <row r="437" spans="1:14" x14ac:dyDescent="0.3">
      <c r="A437" s="3" t="str">
        <f>ledger!A437</f>
        <v>TXN100435</v>
      </c>
      <c r="B437" s="3">
        <f>ledger!C437</f>
        <v>28</v>
      </c>
      <c r="C437" s="4" t="str">
        <f>IFERROR(VLOOKUP(B437, merchants!$A$2:$D$41, 2, FALSE), "Merchant not found")</f>
        <v>Merchant_028</v>
      </c>
      <c r="D437" s="3" t="str">
        <f>IFERROR(VLOOKUP(B437, merchants!$A$2:$D$41, 3, FALSE), "Merchant not found")</f>
        <v>ecommerce</v>
      </c>
      <c r="E437" s="3" t="str">
        <f>IFERROR(VLOOKUP(B437, merchants!$A$2:$D$41, 4, FALSE), "Merchant not found")</f>
        <v>South</v>
      </c>
      <c r="F437" s="4">
        <f>ledger!D437</f>
        <v>46052.236111111109</v>
      </c>
      <c r="G437" s="5">
        <f>ledger!I437</f>
        <v>46052</v>
      </c>
      <c r="H437" s="3">
        <f>ledger!E437</f>
        <v>499</v>
      </c>
      <c r="I437" s="3" t="str">
        <f>ledger!F437</f>
        <v>Card</v>
      </c>
      <c r="J437" s="3" t="str">
        <f>ledger!G437</f>
        <v>captured</v>
      </c>
      <c r="K437" s="9">
        <f>HLOOKUP(I437,Fee!$B$1:$E$2,2,FALSE())</f>
        <v>0.02</v>
      </c>
      <c r="L437" s="12">
        <f t="shared" si="12"/>
        <v>9.98</v>
      </c>
      <c r="M437" s="3">
        <f>SUMIFS(ledger!$E$2:$E$548, ledger!$C$2:$C$548, B437, ledger!$I$2:$I$548, G437)</f>
        <v>499</v>
      </c>
      <c r="N437" s="3" t="str">
        <f t="shared" si="13"/>
        <v>Standard</v>
      </c>
    </row>
    <row r="438" spans="1:14" x14ac:dyDescent="0.3">
      <c r="A438" s="3" t="str">
        <f>ledger!A438</f>
        <v>TXN100436</v>
      </c>
      <c r="B438" s="3">
        <f>ledger!C438</f>
        <v>25</v>
      </c>
      <c r="C438" s="4" t="str">
        <f>IFERROR(VLOOKUP(B438, merchants!$A$2:$D$41, 2, FALSE), "Merchant not found")</f>
        <v>Merchant_025</v>
      </c>
      <c r="D438" s="3" t="str">
        <f>IFERROR(VLOOKUP(B438, merchants!$A$2:$D$41, 3, FALSE), "Merchant not found")</f>
        <v>travel</v>
      </c>
      <c r="E438" s="3" t="str">
        <f>IFERROR(VLOOKUP(B438, merchants!$A$2:$D$41, 4, FALSE), "Merchant not found")</f>
        <v>South</v>
      </c>
      <c r="F438" s="4">
        <f>ledger!D438</f>
        <v>46038.056944444441</v>
      </c>
      <c r="G438" s="5">
        <f>ledger!I438</f>
        <v>46038</v>
      </c>
      <c r="H438" s="3">
        <f>ledger!E438</f>
        <v>799</v>
      </c>
      <c r="I438" s="3" t="str">
        <f>ledger!F438</f>
        <v>UPI</v>
      </c>
      <c r="J438" s="3" t="str">
        <f>ledger!G438</f>
        <v>captured</v>
      </c>
      <c r="K438" s="9">
        <f>HLOOKUP(I438,Fee!$B$1:$E$2,2,FALSE())</f>
        <v>5.0000000000000001E-3</v>
      </c>
      <c r="L438" s="12">
        <f t="shared" si="12"/>
        <v>3.9950000000000001</v>
      </c>
      <c r="M438" s="3">
        <f>SUMIFS(ledger!$E$2:$E$548, ledger!$C$2:$C$548, B438, ledger!$I$2:$I$548, G438)</f>
        <v>799</v>
      </c>
      <c r="N438" s="3" t="str">
        <f t="shared" si="13"/>
        <v>Standard</v>
      </c>
    </row>
    <row r="439" spans="1:14" x14ac:dyDescent="0.3">
      <c r="A439" s="3" t="str">
        <f>ledger!A439</f>
        <v>TXN100437</v>
      </c>
      <c r="B439" s="3">
        <f>ledger!C439</f>
        <v>27</v>
      </c>
      <c r="C439" s="4" t="str">
        <f>IFERROR(VLOOKUP(B439, merchants!$A$2:$D$41, 2, FALSE), "Merchant not found")</f>
        <v>Merchant_027</v>
      </c>
      <c r="D439" s="3" t="str">
        <f>IFERROR(VLOOKUP(B439, merchants!$A$2:$D$41, 3, FALSE), "Merchant not found")</f>
        <v>ecommerce</v>
      </c>
      <c r="E439" s="3" t="str">
        <f>IFERROR(VLOOKUP(B439, merchants!$A$2:$D$41, 4, FALSE), "Merchant not found")</f>
        <v>North</v>
      </c>
      <c r="F439" s="4">
        <f>ledger!D439</f>
        <v>46039.447222222225</v>
      </c>
      <c r="G439" s="5">
        <f>ledger!I439</f>
        <v>46039</v>
      </c>
      <c r="H439" s="3">
        <f>ledger!E439</f>
        <v>299</v>
      </c>
      <c r="I439" s="3" t="str">
        <f>ledger!F439</f>
        <v>Card</v>
      </c>
      <c r="J439" s="3" t="str">
        <f>ledger!G439</f>
        <v>captured</v>
      </c>
      <c r="K439" s="9">
        <f>HLOOKUP(I439,Fee!$B$1:$E$2,2,FALSE())</f>
        <v>0.02</v>
      </c>
      <c r="L439" s="12">
        <f t="shared" si="12"/>
        <v>5.98</v>
      </c>
      <c r="M439" s="3">
        <f>SUMIFS(ledger!$E$2:$E$548, ledger!$C$2:$C$548, B439, ledger!$I$2:$I$548, G439)</f>
        <v>1597</v>
      </c>
      <c r="N439" s="3" t="str">
        <f t="shared" si="13"/>
        <v>Standard</v>
      </c>
    </row>
    <row r="440" spans="1:14" x14ac:dyDescent="0.3">
      <c r="A440" s="3" t="str">
        <f>ledger!A440</f>
        <v>TXN100438</v>
      </c>
      <c r="B440" s="3">
        <f>ledger!C440</f>
        <v>31</v>
      </c>
      <c r="C440" s="4" t="str">
        <f>IFERROR(VLOOKUP(B440, merchants!$A$2:$D$41, 2, FALSE), "Merchant not found")</f>
        <v>Merchant_031</v>
      </c>
      <c r="D440" s="3" t="str">
        <f>IFERROR(VLOOKUP(B440, merchants!$A$2:$D$41, 3, FALSE), "Merchant not found")</f>
        <v>bill_payment</v>
      </c>
      <c r="E440" s="3" t="str">
        <f>IFERROR(VLOOKUP(B440, merchants!$A$2:$D$41, 4, FALSE), "Merchant not found")</f>
        <v>East</v>
      </c>
      <c r="F440" s="4">
        <f>ledger!D440</f>
        <v>46032.507638888892</v>
      </c>
      <c r="G440" s="5">
        <f>ledger!I440</f>
        <v>46032</v>
      </c>
      <c r="H440" s="3">
        <f>ledger!E440</f>
        <v>499</v>
      </c>
      <c r="I440" s="3" t="str">
        <f>ledger!F440</f>
        <v>UPI</v>
      </c>
      <c r="J440" s="3" t="str">
        <f>ledger!G440</f>
        <v>captured</v>
      </c>
      <c r="K440" s="9">
        <f>HLOOKUP(I440,Fee!$B$1:$E$2,2,FALSE())</f>
        <v>5.0000000000000001E-3</v>
      </c>
      <c r="L440" s="12">
        <f t="shared" si="12"/>
        <v>2.4950000000000001</v>
      </c>
      <c r="M440" s="3">
        <f>SUMIFS(ledger!$E$2:$E$548, ledger!$C$2:$C$548, B440, ledger!$I$2:$I$548, G440)</f>
        <v>499</v>
      </c>
      <c r="N440" s="3" t="str">
        <f t="shared" si="13"/>
        <v>Standard</v>
      </c>
    </row>
    <row r="441" spans="1:14" x14ac:dyDescent="0.3">
      <c r="A441" s="3" t="str">
        <f>ledger!A441</f>
        <v>TXN100439</v>
      </c>
      <c r="B441" s="3">
        <f>ledger!C441</f>
        <v>30</v>
      </c>
      <c r="C441" s="4" t="str">
        <f>IFERROR(VLOOKUP(B441, merchants!$A$2:$D$41, 2, FALSE), "Merchant not found")</f>
        <v>Merchant_030</v>
      </c>
      <c r="D441" s="3" t="str">
        <f>IFERROR(VLOOKUP(B441, merchants!$A$2:$D$41, 3, FALSE), "Merchant not found")</f>
        <v>travel</v>
      </c>
      <c r="E441" s="3" t="str">
        <f>IFERROR(VLOOKUP(B441, merchants!$A$2:$D$41, 4, FALSE), "Merchant not found")</f>
        <v>West</v>
      </c>
      <c r="F441" s="4">
        <f>ledger!D441</f>
        <v>46050.304861111108</v>
      </c>
      <c r="G441" s="5">
        <f>ledger!I441</f>
        <v>46050</v>
      </c>
      <c r="H441" s="3">
        <f>ledger!E441</f>
        <v>49</v>
      </c>
      <c r="I441" s="3" t="str">
        <f>ledger!F441</f>
        <v>UPI</v>
      </c>
      <c r="J441" s="3" t="str">
        <f>ledger!G441</f>
        <v>captured</v>
      </c>
      <c r="K441" s="9">
        <f>HLOOKUP(I441,Fee!$B$1:$E$2,2,FALSE())</f>
        <v>5.0000000000000001E-3</v>
      </c>
      <c r="L441" s="12">
        <f t="shared" si="12"/>
        <v>0.245</v>
      </c>
      <c r="M441" s="3">
        <f>SUMIFS(ledger!$E$2:$E$548, ledger!$C$2:$C$548, B441, ledger!$I$2:$I$548, G441)</f>
        <v>49</v>
      </c>
      <c r="N441" s="3" t="str">
        <f t="shared" si="13"/>
        <v>Standard</v>
      </c>
    </row>
    <row r="442" spans="1:14" x14ac:dyDescent="0.3">
      <c r="A442" s="3" t="str">
        <f>ledger!A442</f>
        <v>TXN100440</v>
      </c>
      <c r="B442" s="3">
        <f>ledger!C442</f>
        <v>34</v>
      </c>
      <c r="C442" s="4" t="str">
        <f>IFERROR(VLOOKUP(B442, merchants!$A$2:$D$41, 2, FALSE), "Merchant not found")</f>
        <v>Merchant_034</v>
      </c>
      <c r="D442" s="3" t="str">
        <f>IFERROR(VLOOKUP(B442, merchants!$A$2:$D$41, 3, FALSE), "Merchant not found")</f>
        <v>travel</v>
      </c>
      <c r="E442" s="3" t="str">
        <f>IFERROR(VLOOKUP(B442, merchants!$A$2:$D$41, 4, FALSE), "Merchant not found")</f>
        <v>South</v>
      </c>
      <c r="F442" s="4">
        <f>ledger!D442</f>
        <v>46040.55972222222</v>
      </c>
      <c r="G442" s="5">
        <f>ledger!I442</f>
        <v>46040</v>
      </c>
      <c r="H442" s="3">
        <f>ledger!E442</f>
        <v>49</v>
      </c>
      <c r="I442" s="3" t="str">
        <f>ledger!F442</f>
        <v>Card</v>
      </c>
      <c r="J442" s="3" t="str">
        <f>ledger!G442</f>
        <v>captured</v>
      </c>
      <c r="K442" s="9">
        <f>HLOOKUP(I442,Fee!$B$1:$E$2,2,FALSE())</f>
        <v>0.02</v>
      </c>
      <c r="L442" s="12">
        <f t="shared" si="12"/>
        <v>0.98</v>
      </c>
      <c r="M442" s="3">
        <f>SUMIFS(ledger!$E$2:$E$548, ledger!$C$2:$C$548, B442, ledger!$I$2:$I$548, G442)</f>
        <v>148</v>
      </c>
      <c r="N442" s="3" t="str">
        <f t="shared" si="13"/>
        <v>Standard</v>
      </c>
    </row>
    <row r="443" spans="1:14" x14ac:dyDescent="0.3">
      <c r="A443" s="3" t="str">
        <f>ledger!A443</f>
        <v>TXN100441</v>
      </c>
      <c r="B443" s="3">
        <f>ledger!C443</f>
        <v>22</v>
      </c>
      <c r="C443" s="4" t="str">
        <f>IFERROR(VLOOKUP(B443, merchants!$A$2:$D$41, 2, FALSE), "Merchant not found")</f>
        <v>Merchant_022</v>
      </c>
      <c r="D443" s="3" t="str">
        <f>IFERROR(VLOOKUP(B443, merchants!$A$2:$D$41, 3, FALSE), "Merchant not found")</f>
        <v>travel</v>
      </c>
      <c r="E443" s="3" t="str">
        <f>IFERROR(VLOOKUP(B443, merchants!$A$2:$D$41, 4, FALSE), "Merchant not found")</f>
        <v>South</v>
      </c>
      <c r="F443" s="4">
        <f>ledger!D443</f>
        <v>46035.302777777775</v>
      </c>
      <c r="G443" s="5">
        <f>ledger!I443</f>
        <v>46035</v>
      </c>
      <c r="H443" s="3">
        <f>ledger!E443</f>
        <v>4999</v>
      </c>
      <c r="I443" s="3" t="str">
        <f>ledger!F443</f>
        <v>UPI</v>
      </c>
      <c r="J443" s="3" t="str">
        <f>ledger!G443</f>
        <v>captured</v>
      </c>
      <c r="K443" s="9">
        <f>HLOOKUP(I443,Fee!$B$1:$E$2,2,FALSE())</f>
        <v>5.0000000000000001E-3</v>
      </c>
      <c r="L443" s="12">
        <f t="shared" si="12"/>
        <v>24.995000000000001</v>
      </c>
      <c r="M443" s="3">
        <f>SUMIFS(ledger!$E$2:$E$548, ledger!$C$2:$C$548, B443, ledger!$I$2:$I$548, G443)</f>
        <v>5798</v>
      </c>
      <c r="N443" s="3" t="str">
        <f t="shared" si="13"/>
        <v>High Value</v>
      </c>
    </row>
    <row r="444" spans="1:14" x14ac:dyDescent="0.3">
      <c r="A444" s="3" t="str">
        <f>ledger!A444</f>
        <v>TXN100442</v>
      </c>
      <c r="B444" s="3">
        <f>ledger!C444</f>
        <v>6</v>
      </c>
      <c r="C444" s="4" t="str">
        <f>IFERROR(VLOOKUP(B444, merchants!$A$2:$D$41, 2, FALSE), "Merchant not found")</f>
        <v>Merchant_006</v>
      </c>
      <c r="D444" s="3" t="str">
        <f>IFERROR(VLOOKUP(B444, merchants!$A$2:$D$41, 3, FALSE), "Merchant not found")</f>
        <v>food_delivery</v>
      </c>
      <c r="E444" s="3" t="str">
        <f>IFERROR(VLOOKUP(B444, merchants!$A$2:$D$41, 4, FALSE), "Merchant not found")</f>
        <v>South</v>
      </c>
      <c r="F444" s="4">
        <f>ledger!D444</f>
        <v>46025.620833333334</v>
      </c>
      <c r="G444" s="5">
        <f>ledger!I444</f>
        <v>46025</v>
      </c>
      <c r="H444" s="3">
        <f>ledger!E444</f>
        <v>799</v>
      </c>
      <c r="I444" s="3" t="str">
        <f>ledger!F444</f>
        <v>Wallet</v>
      </c>
      <c r="J444" s="3" t="str">
        <f>ledger!G444</f>
        <v>captured</v>
      </c>
      <c r="K444" s="9">
        <f>HLOOKUP(I444,Fee!$B$1:$E$2,2,FALSE())</f>
        <v>1.4999999999999999E-2</v>
      </c>
      <c r="L444" s="12">
        <f t="shared" si="12"/>
        <v>11.984999999999999</v>
      </c>
      <c r="M444" s="3">
        <f>SUMIFS(ledger!$E$2:$E$548, ledger!$C$2:$C$548, B444, ledger!$I$2:$I$548, G444)</f>
        <v>799</v>
      </c>
      <c r="N444" s="3" t="str">
        <f t="shared" si="13"/>
        <v>Standard</v>
      </c>
    </row>
    <row r="445" spans="1:14" x14ac:dyDescent="0.3">
      <c r="A445" s="3" t="str">
        <f>ledger!A445</f>
        <v>TXN100443</v>
      </c>
      <c r="B445" s="3">
        <f>ledger!C445</f>
        <v>25</v>
      </c>
      <c r="C445" s="4" t="str">
        <f>IFERROR(VLOOKUP(B445, merchants!$A$2:$D$41, 2, FALSE), "Merchant not found")</f>
        <v>Merchant_025</v>
      </c>
      <c r="D445" s="3" t="str">
        <f>IFERROR(VLOOKUP(B445, merchants!$A$2:$D$41, 3, FALSE), "Merchant not found")</f>
        <v>travel</v>
      </c>
      <c r="E445" s="3" t="str">
        <f>IFERROR(VLOOKUP(B445, merchants!$A$2:$D$41, 4, FALSE), "Merchant not found")</f>
        <v>South</v>
      </c>
      <c r="F445" s="4">
        <f>ledger!D445</f>
        <v>46046.252083333333</v>
      </c>
      <c r="G445" s="5">
        <f>ledger!I445</f>
        <v>46046</v>
      </c>
      <c r="H445" s="3">
        <f>ledger!E445</f>
        <v>299</v>
      </c>
      <c r="I445" s="3" t="str">
        <f>ledger!F445</f>
        <v>Wallet</v>
      </c>
      <c r="J445" s="3" t="str">
        <f>ledger!G445</f>
        <v>captured</v>
      </c>
      <c r="K445" s="9">
        <f>HLOOKUP(I445,Fee!$B$1:$E$2,2,FALSE())</f>
        <v>1.4999999999999999E-2</v>
      </c>
      <c r="L445" s="12">
        <f t="shared" si="12"/>
        <v>4.4849999999999994</v>
      </c>
      <c r="M445" s="3">
        <f>SUMIFS(ledger!$E$2:$E$548, ledger!$C$2:$C$548, B445, ledger!$I$2:$I$548, G445)</f>
        <v>497</v>
      </c>
      <c r="N445" s="3" t="str">
        <f t="shared" si="13"/>
        <v>Standard</v>
      </c>
    </row>
    <row r="446" spans="1:14" x14ac:dyDescent="0.3">
      <c r="A446" s="3" t="str">
        <f>ledger!A446</f>
        <v>TXN100444</v>
      </c>
      <c r="B446" s="3">
        <f>ledger!C446</f>
        <v>13</v>
      </c>
      <c r="C446" s="4" t="str">
        <f>IFERROR(VLOOKUP(B446, merchants!$A$2:$D$41, 2, FALSE), "Merchant not found")</f>
        <v>Merchant_013</v>
      </c>
      <c r="D446" s="3" t="str">
        <f>IFERROR(VLOOKUP(B446, merchants!$A$2:$D$41, 3, FALSE), "Merchant not found")</f>
        <v>travel</v>
      </c>
      <c r="E446" s="3" t="str">
        <f>IFERROR(VLOOKUP(B446, merchants!$A$2:$D$41, 4, FALSE), "Merchant not found")</f>
        <v>East</v>
      </c>
      <c r="F446" s="4">
        <f>ledger!D446</f>
        <v>46042.793055555558</v>
      </c>
      <c r="G446" s="5">
        <f>ledger!I446</f>
        <v>46042</v>
      </c>
      <c r="H446" s="3">
        <f>ledger!E446</f>
        <v>4999</v>
      </c>
      <c r="I446" s="3" t="str">
        <f>ledger!F446</f>
        <v>Netbanking</v>
      </c>
      <c r="J446" s="3" t="str">
        <f>ledger!G446</f>
        <v>captured</v>
      </c>
      <c r="K446" s="9">
        <f>HLOOKUP(I446,Fee!$B$1:$E$2,2,FALSE())</f>
        <v>1.7999999999999999E-2</v>
      </c>
      <c r="L446" s="12">
        <f t="shared" si="12"/>
        <v>89.981999999999999</v>
      </c>
      <c r="M446" s="3">
        <f>SUMIFS(ledger!$E$2:$E$548, ledger!$C$2:$C$548, B446, ledger!$I$2:$I$548, G446)</f>
        <v>4999</v>
      </c>
      <c r="N446" s="3" t="str">
        <f t="shared" si="13"/>
        <v>Standard</v>
      </c>
    </row>
    <row r="447" spans="1:14" x14ac:dyDescent="0.3">
      <c r="A447" s="3" t="str">
        <f>ledger!A447</f>
        <v>TXN100445</v>
      </c>
      <c r="B447" s="3">
        <f>ledger!C447</f>
        <v>14</v>
      </c>
      <c r="C447" s="4" t="str">
        <f>IFERROR(VLOOKUP(B447, merchants!$A$2:$D$41, 2, FALSE), "Merchant not found")</f>
        <v>Merchant_014</v>
      </c>
      <c r="D447" s="3" t="str">
        <f>IFERROR(VLOOKUP(B447, merchants!$A$2:$D$41, 3, FALSE), "Merchant not found")</f>
        <v>grocery</v>
      </c>
      <c r="E447" s="3" t="str">
        <f>IFERROR(VLOOKUP(B447, merchants!$A$2:$D$41, 4, FALSE), "Merchant not found")</f>
        <v>East</v>
      </c>
      <c r="F447" s="4">
        <f>ledger!D447</f>
        <v>46041.987500000003</v>
      </c>
      <c r="G447" s="5">
        <f>ledger!I447</f>
        <v>46041</v>
      </c>
      <c r="H447" s="3">
        <f>ledger!E447</f>
        <v>99</v>
      </c>
      <c r="I447" s="3" t="str">
        <f>ledger!F447</f>
        <v>Wallet</v>
      </c>
      <c r="J447" s="3" t="str">
        <f>ledger!G447</f>
        <v>captured</v>
      </c>
      <c r="K447" s="9">
        <f>HLOOKUP(I447,Fee!$B$1:$E$2,2,FALSE())</f>
        <v>1.4999999999999999E-2</v>
      </c>
      <c r="L447" s="12">
        <f t="shared" si="12"/>
        <v>1.4849999999999999</v>
      </c>
      <c r="M447" s="3">
        <f>SUMIFS(ledger!$E$2:$E$548, ledger!$C$2:$C$548, B447, ledger!$I$2:$I$548, G447)</f>
        <v>99</v>
      </c>
      <c r="N447" s="3" t="str">
        <f t="shared" si="13"/>
        <v>Standard</v>
      </c>
    </row>
    <row r="448" spans="1:14" x14ac:dyDescent="0.3">
      <c r="A448" s="3" t="str">
        <f>ledger!A448</f>
        <v>TXN100446</v>
      </c>
      <c r="B448" s="3">
        <f>ledger!C448</f>
        <v>14</v>
      </c>
      <c r="C448" s="4" t="str">
        <f>IFERROR(VLOOKUP(B448, merchants!$A$2:$D$41, 2, FALSE), "Merchant not found")</f>
        <v>Merchant_014</v>
      </c>
      <c r="D448" s="3" t="str">
        <f>IFERROR(VLOOKUP(B448, merchants!$A$2:$D$41, 3, FALSE), "Merchant not found")</f>
        <v>grocery</v>
      </c>
      <c r="E448" s="3" t="str">
        <f>IFERROR(VLOOKUP(B448, merchants!$A$2:$D$41, 4, FALSE), "Merchant not found")</f>
        <v>East</v>
      </c>
      <c r="F448" s="4">
        <f>ledger!D448</f>
        <v>46029.429861111108</v>
      </c>
      <c r="G448" s="5">
        <f>ledger!I448</f>
        <v>46029</v>
      </c>
      <c r="H448" s="3">
        <f>ledger!E448</f>
        <v>49</v>
      </c>
      <c r="I448" s="3" t="str">
        <f>ledger!F448</f>
        <v>UPI</v>
      </c>
      <c r="J448" s="3" t="str">
        <f>ledger!G448</f>
        <v>captured</v>
      </c>
      <c r="K448" s="9">
        <f>HLOOKUP(I448,Fee!$B$1:$E$2,2,FALSE())</f>
        <v>5.0000000000000001E-3</v>
      </c>
      <c r="L448" s="12">
        <f t="shared" si="12"/>
        <v>0.245</v>
      </c>
      <c r="M448" s="3">
        <f>SUMIFS(ledger!$E$2:$E$548, ledger!$C$2:$C$548, B448, ledger!$I$2:$I$548, G448)</f>
        <v>49</v>
      </c>
      <c r="N448" s="3" t="str">
        <f t="shared" si="13"/>
        <v>Standard</v>
      </c>
    </row>
    <row r="449" spans="1:14" x14ac:dyDescent="0.3">
      <c r="A449" s="3" t="str">
        <f>ledger!A449</f>
        <v>TXN100447</v>
      </c>
      <c r="B449" s="3">
        <f>ledger!C449</f>
        <v>16</v>
      </c>
      <c r="C449" s="4" t="str">
        <f>IFERROR(VLOOKUP(B449, merchants!$A$2:$D$41, 2, FALSE), "Merchant not found")</f>
        <v>Merchant_016</v>
      </c>
      <c r="D449" s="3" t="str">
        <f>IFERROR(VLOOKUP(B449, merchants!$A$2:$D$41, 3, FALSE), "Merchant not found")</f>
        <v>bill_payment</v>
      </c>
      <c r="E449" s="3" t="str">
        <f>IFERROR(VLOOKUP(B449, merchants!$A$2:$D$41, 4, FALSE), "Merchant not found")</f>
        <v>West</v>
      </c>
      <c r="F449" s="4">
        <f>ledger!D449</f>
        <v>46046.157638888886</v>
      </c>
      <c r="G449" s="5">
        <f>ledger!I449</f>
        <v>46046</v>
      </c>
      <c r="H449" s="3">
        <f>ledger!E449</f>
        <v>1499</v>
      </c>
      <c r="I449" s="3" t="str">
        <f>ledger!F449</f>
        <v>Wallet</v>
      </c>
      <c r="J449" s="3" t="str">
        <f>ledger!G449</f>
        <v>captured</v>
      </c>
      <c r="K449" s="9">
        <f>HLOOKUP(I449,Fee!$B$1:$E$2,2,FALSE())</f>
        <v>1.4999999999999999E-2</v>
      </c>
      <c r="L449" s="12">
        <f t="shared" si="12"/>
        <v>22.484999999999999</v>
      </c>
      <c r="M449" s="3">
        <f>SUMIFS(ledger!$E$2:$E$548, ledger!$C$2:$C$548, B449, ledger!$I$2:$I$548, G449)</f>
        <v>1548</v>
      </c>
      <c r="N449" s="3" t="str">
        <f t="shared" si="13"/>
        <v>Standard</v>
      </c>
    </row>
    <row r="450" spans="1:14" x14ac:dyDescent="0.3">
      <c r="A450" s="3" t="str">
        <f>ledger!A450</f>
        <v>TXN100448</v>
      </c>
      <c r="B450" s="3">
        <f>ledger!C450</f>
        <v>16</v>
      </c>
      <c r="C450" s="4" t="str">
        <f>IFERROR(VLOOKUP(B450, merchants!$A$2:$D$41, 2, FALSE), "Merchant not found")</f>
        <v>Merchant_016</v>
      </c>
      <c r="D450" s="3" t="str">
        <f>IFERROR(VLOOKUP(B450, merchants!$A$2:$D$41, 3, FALSE), "Merchant not found")</f>
        <v>bill_payment</v>
      </c>
      <c r="E450" s="3" t="str">
        <f>IFERROR(VLOOKUP(B450, merchants!$A$2:$D$41, 4, FALSE), "Merchant not found")</f>
        <v>West</v>
      </c>
      <c r="F450" s="4">
        <f>ledger!D450</f>
        <v>46042.925694444442</v>
      </c>
      <c r="G450" s="5">
        <f>ledger!I450</f>
        <v>46042</v>
      </c>
      <c r="H450" s="3">
        <f>ledger!E450</f>
        <v>149</v>
      </c>
      <c r="I450" s="3" t="str">
        <f>ledger!F450</f>
        <v>UPI</v>
      </c>
      <c r="J450" s="3" t="str">
        <f>ledger!G450</f>
        <v>captured</v>
      </c>
      <c r="K450" s="9">
        <f>HLOOKUP(I450,Fee!$B$1:$E$2,2,FALSE())</f>
        <v>5.0000000000000001E-3</v>
      </c>
      <c r="L450" s="12">
        <f t="shared" si="12"/>
        <v>0.745</v>
      </c>
      <c r="M450" s="3">
        <f>SUMIFS(ledger!$E$2:$E$548, ledger!$C$2:$C$548, B450, ledger!$I$2:$I$548, G450)</f>
        <v>448</v>
      </c>
      <c r="N450" s="3" t="str">
        <f t="shared" si="13"/>
        <v>Standard</v>
      </c>
    </row>
    <row r="451" spans="1:14" x14ac:dyDescent="0.3">
      <c r="A451" s="3" t="str">
        <f>ledger!A451</f>
        <v>TXN100449</v>
      </c>
      <c r="B451" s="3">
        <f>ledger!C451</f>
        <v>35</v>
      </c>
      <c r="C451" s="4" t="str">
        <f>IFERROR(VLOOKUP(B451, merchants!$A$2:$D$41, 2, FALSE), "Merchant not found")</f>
        <v>Merchant_035</v>
      </c>
      <c r="D451" s="3" t="str">
        <f>IFERROR(VLOOKUP(B451, merchants!$A$2:$D$41, 3, FALSE), "Merchant not found")</f>
        <v>recharge</v>
      </c>
      <c r="E451" s="3" t="str">
        <f>IFERROR(VLOOKUP(B451, merchants!$A$2:$D$41, 4, FALSE), "Merchant not found")</f>
        <v>East</v>
      </c>
      <c r="F451" s="4">
        <f>ledger!D451</f>
        <v>46033.39166666667</v>
      </c>
      <c r="G451" s="5">
        <f>ledger!I451</f>
        <v>46033</v>
      </c>
      <c r="H451" s="3">
        <f>ledger!E451</f>
        <v>4999</v>
      </c>
      <c r="I451" s="3" t="str">
        <f>ledger!F451</f>
        <v>UPI</v>
      </c>
      <c r="J451" s="3" t="str">
        <f>ledger!G451</f>
        <v>captured</v>
      </c>
      <c r="K451" s="9">
        <f>HLOOKUP(I451,Fee!$B$1:$E$2,2,FALSE())</f>
        <v>5.0000000000000001E-3</v>
      </c>
      <c r="L451" s="12">
        <f t="shared" ref="L451:L514" si="14">H451*K451</f>
        <v>24.995000000000001</v>
      </c>
      <c r="M451" s="3">
        <f>SUMIFS(ledger!$E$2:$E$548, ledger!$C$2:$C$548, B451, ledger!$I$2:$I$548, G451)</f>
        <v>4999</v>
      </c>
      <c r="N451" s="3" t="str">
        <f t="shared" ref="N451:N514" si="15">IF(AND(M451&gt;5000,E451&lt;&gt;"East"),"High Value","Standard")</f>
        <v>Standard</v>
      </c>
    </row>
    <row r="452" spans="1:14" x14ac:dyDescent="0.3">
      <c r="A452" s="3" t="str">
        <f>ledger!A452</f>
        <v>TXN100450</v>
      </c>
      <c r="B452" s="3">
        <f>ledger!C452</f>
        <v>33</v>
      </c>
      <c r="C452" s="4" t="str">
        <f>IFERROR(VLOOKUP(B452, merchants!$A$2:$D$41, 2, FALSE), "Merchant not found")</f>
        <v>Merchant_033</v>
      </c>
      <c r="D452" s="3" t="str">
        <f>IFERROR(VLOOKUP(B452, merchants!$A$2:$D$41, 3, FALSE), "Merchant not found")</f>
        <v>bill_payment</v>
      </c>
      <c r="E452" s="3" t="str">
        <f>IFERROR(VLOOKUP(B452, merchants!$A$2:$D$41, 4, FALSE), "Merchant not found")</f>
        <v>East</v>
      </c>
      <c r="F452" s="4">
        <f>ledger!D452</f>
        <v>46034.386111111111</v>
      </c>
      <c r="G452" s="5">
        <f>ledger!I452</f>
        <v>46034</v>
      </c>
      <c r="H452" s="3">
        <f>ledger!E452</f>
        <v>299</v>
      </c>
      <c r="I452" s="3" t="str">
        <f>ledger!F452</f>
        <v>UPI</v>
      </c>
      <c r="J452" s="3" t="str">
        <f>ledger!G452</f>
        <v>captured</v>
      </c>
      <c r="K452" s="9">
        <f>HLOOKUP(I452,Fee!$B$1:$E$2,2,FALSE())</f>
        <v>5.0000000000000001E-3</v>
      </c>
      <c r="L452" s="12">
        <f t="shared" si="14"/>
        <v>1.4950000000000001</v>
      </c>
      <c r="M452" s="3">
        <f>SUMIFS(ledger!$E$2:$E$548, ledger!$C$2:$C$548, B452, ledger!$I$2:$I$548, G452)</f>
        <v>299</v>
      </c>
      <c r="N452" s="3" t="str">
        <f t="shared" si="15"/>
        <v>Standard</v>
      </c>
    </row>
    <row r="453" spans="1:14" x14ac:dyDescent="0.3">
      <c r="A453" s="3" t="str">
        <f>ledger!A453</f>
        <v>TXN100451</v>
      </c>
      <c r="B453" s="3">
        <f>ledger!C453</f>
        <v>21</v>
      </c>
      <c r="C453" s="4" t="str">
        <f>IFERROR(VLOOKUP(B453, merchants!$A$2:$D$41, 2, FALSE), "Merchant not found")</f>
        <v>Merchant_021</v>
      </c>
      <c r="D453" s="3" t="str">
        <f>IFERROR(VLOOKUP(B453, merchants!$A$2:$D$41, 3, FALSE), "Merchant not found")</f>
        <v>food_delivery</v>
      </c>
      <c r="E453" s="3" t="str">
        <f>IFERROR(VLOOKUP(B453, merchants!$A$2:$D$41, 4, FALSE), "Merchant not found")</f>
        <v>East</v>
      </c>
      <c r="F453" s="4">
        <f>ledger!D453</f>
        <v>46037.160416666666</v>
      </c>
      <c r="G453" s="5">
        <f>ledger!I453</f>
        <v>46037</v>
      </c>
      <c r="H453" s="3">
        <f>ledger!E453</f>
        <v>299</v>
      </c>
      <c r="I453" s="3" t="str">
        <f>ledger!F453</f>
        <v>Card</v>
      </c>
      <c r="J453" s="3" t="str">
        <f>ledger!G453</f>
        <v>captured</v>
      </c>
      <c r="K453" s="9">
        <f>HLOOKUP(I453,Fee!$B$1:$E$2,2,FALSE())</f>
        <v>0.02</v>
      </c>
      <c r="L453" s="12">
        <f t="shared" si="14"/>
        <v>5.98</v>
      </c>
      <c r="M453" s="3">
        <f>SUMIFS(ledger!$E$2:$E$548, ledger!$C$2:$C$548, B453, ledger!$I$2:$I$548, G453)</f>
        <v>299</v>
      </c>
      <c r="N453" s="3" t="str">
        <f t="shared" si="15"/>
        <v>Standard</v>
      </c>
    </row>
    <row r="454" spans="1:14" x14ac:dyDescent="0.3">
      <c r="A454" s="3" t="str">
        <f>ledger!A454</f>
        <v>TXN100452</v>
      </c>
      <c r="B454" s="3">
        <f>ledger!C454</f>
        <v>37</v>
      </c>
      <c r="C454" s="4" t="str">
        <f>IFERROR(VLOOKUP(B454, merchants!$A$2:$D$41, 2, FALSE), "Merchant not found")</f>
        <v>Merchant_037</v>
      </c>
      <c r="D454" s="3" t="str">
        <f>IFERROR(VLOOKUP(B454, merchants!$A$2:$D$41, 3, FALSE), "Merchant not found")</f>
        <v>entertainment</v>
      </c>
      <c r="E454" s="3" t="str">
        <f>IFERROR(VLOOKUP(B454, merchants!$A$2:$D$41, 4, FALSE), "Merchant not found")</f>
        <v>South</v>
      </c>
      <c r="F454" s="4">
        <f>ledger!D454</f>
        <v>46034.43472222222</v>
      </c>
      <c r="G454" s="5">
        <f>ledger!I454</f>
        <v>46034</v>
      </c>
      <c r="H454" s="3">
        <f>ledger!E454</f>
        <v>149</v>
      </c>
      <c r="I454" s="3" t="str">
        <f>ledger!F454</f>
        <v>UPI</v>
      </c>
      <c r="J454" s="3" t="str">
        <f>ledger!G454</f>
        <v>captured</v>
      </c>
      <c r="K454" s="9">
        <f>HLOOKUP(I454,Fee!$B$1:$E$2,2,FALSE())</f>
        <v>5.0000000000000001E-3</v>
      </c>
      <c r="L454" s="12">
        <f t="shared" si="14"/>
        <v>0.745</v>
      </c>
      <c r="M454" s="3">
        <f>SUMIFS(ledger!$E$2:$E$548, ledger!$C$2:$C$548, B454, ledger!$I$2:$I$548, G454)</f>
        <v>149</v>
      </c>
      <c r="N454" s="3" t="str">
        <f t="shared" si="15"/>
        <v>Standard</v>
      </c>
    </row>
    <row r="455" spans="1:14" x14ac:dyDescent="0.3">
      <c r="A455" s="3" t="str">
        <f>ledger!A455</f>
        <v>TXN100453</v>
      </c>
      <c r="B455" s="3">
        <f>ledger!C455</f>
        <v>36</v>
      </c>
      <c r="C455" s="4" t="str">
        <f>IFERROR(VLOOKUP(B455, merchants!$A$2:$D$41, 2, FALSE), "Merchant not found")</f>
        <v>Merchant_036</v>
      </c>
      <c r="D455" s="3" t="str">
        <f>IFERROR(VLOOKUP(B455, merchants!$A$2:$D$41, 3, FALSE), "Merchant not found")</f>
        <v>entertainment</v>
      </c>
      <c r="E455" s="3" t="str">
        <f>IFERROR(VLOOKUP(B455, merchants!$A$2:$D$41, 4, FALSE), "Merchant not found")</f>
        <v>East</v>
      </c>
      <c r="F455" s="4">
        <f>ledger!D455</f>
        <v>46046.167361111111</v>
      </c>
      <c r="G455" s="5">
        <f>ledger!I455</f>
        <v>46046</v>
      </c>
      <c r="H455" s="3">
        <f>ledger!E455</f>
        <v>1499</v>
      </c>
      <c r="I455" s="3" t="str">
        <f>ledger!F455</f>
        <v>UPI</v>
      </c>
      <c r="J455" s="3" t="str">
        <f>ledger!G455</f>
        <v>captured</v>
      </c>
      <c r="K455" s="9">
        <f>HLOOKUP(I455,Fee!$B$1:$E$2,2,FALSE())</f>
        <v>5.0000000000000001E-3</v>
      </c>
      <c r="L455" s="12">
        <f t="shared" si="14"/>
        <v>7.4950000000000001</v>
      </c>
      <c r="M455" s="3">
        <f>SUMIFS(ledger!$E$2:$E$548, ledger!$C$2:$C$548, B455, ledger!$I$2:$I$548, G455)</f>
        <v>1647</v>
      </c>
      <c r="N455" s="3" t="str">
        <f t="shared" si="15"/>
        <v>Standard</v>
      </c>
    </row>
    <row r="456" spans="1:14" x14ac:dyDescent="0.3">
      <c r="A456" s="3" t="str">
        <f>ledger!A456</f>
        <v>TXN100454</v>
      </c>
      <c r="B456" s="3">
        <f>ledger!C456</f>
        <v>10</v>
      </c>
      <c r="C456" s="4" t="str">
        <f>IFERROR(VLOOKUP(B456, merchants!$A$2:$D$41, 2, FALSE), "Merchant not found")</f>
        <v>Merchant_010</v>
      </c>
      <c r="D456" s="3" t="str">
        <f>IFERROR(VLOOKUP(B456, merchants!$A$2:$D$41, 3, FALSE), "Merchant not found")</f>
        <v>grocery</v>
      </c>
      <c r="E456" s="3" t="str">
        <f>IFERROR(VLOOKUP(B456, merchants!$A$2:$D$41, 4, FALSE), "Merchant not found")</f>
        <v>West</v>
      </c>
      <c r="F456" s="4">
        <f>ledger!D456</f>
        <v>46041.976388888892</v>
      </c>
      <c r="G456" s="5">
        <f>ledger!I456</f>
        <v>46041</v>
      </c>
      <c r="H456" s="3">
        <f>ledger!E456</f>
        <v>499</v>
      </c>
      <c r="I456" s="3" t="str">
        <f>ledger!F456</f>
        <v>Wallet</v>
      </c>
      <c r="J456" s="3" t="str">
        <f>ledger!G456</f>
        <v>captured</v>
      </c>
      <c r="K456" s="9">
        <f>HLOOKUP(I456,Fee!$B$1:$E$2,2,FALSE())</f>
        <v>1.4999999999999999E-2</v>
      </c>
      <c r="L456" s="12">
        <f t="shared" si="14"/>
        <v>7.4849999999999994</v>
      </c>
      <c r="M456" s="3">
        <f>SUMIFS(ledger!$E$2:$E$548, ledger!$C$2:$C$548, B456, ledger!$I$2:$I$548, G456)</f>
        <v>499</v>
      </c>
      <c r="N456" s="3" t="str">
        <f t="shared" si="15"/>
        <v>Standard</v>
      </c>
    </row>
    <row r="457" spans="1:14" x14ac:dyDescent="0.3">
      <c r="A457" s="3" t="str">
        <f>ledger!A457</f>
        <v>TXN100455</v>
      </c>
      <c r="B457" s="3">
        <f>ledger!C457</f>
        <v>16</v>
      </c>
      <c r="C457" s="4" t="str">
        <f>IFERROR(VLOOKUP(B457, merchants!$A$2:$D$41, 2, FALSE), "Merchant not found")</f>
        <v>Merchant_016</v>
      </c>
      <c r="D457" s="3" t="str">
        <f>IFERROR(VLOOKUP(B457, merchants!$A$2:$D$41, 3, FALSE), "Merchant not found")</f>
        <v>bill_payment</v>
      </c>
      <c r="E457" s="3" t="str">
        <f>IFERROR(VLOOKUP(B457, merchants!$A$2:$D$41, 4, FALSE), "Merchant not found")</f>
        <v>West</v>
      </c>
      <c r="F457" s="4">
        <f>ledger!D457</f>
        <v>46033.308333333334</v>
      </c>
      <c r="G457" s="5">
        <f>ledger!I457</f>
        <v>46033</v>
      </c>
      <c r="H457" s="3">
        <f>ledger!E457</f>
        <v>499</v>
      </c>
      <c r="I457" s="3" t="str">
        <f>ledger!F457</f>
        <v>Netbanking</v>
      </c>
      <c r="J457" s="3" t="str">
        <f>ledger!G457</f>
        <v>captured</v>
      </c>
      <c r="K457" s="9">
        <f>HLOOKUP(I457,Fee!$B$1:$E$2,2,FALSE())</f>
        <v>1.7999999999999999E-2</v>
      </c>
      <c r="L457" s="12">
        <f t="shared" si="14"/>
        <v>8.9819999999999993</v>
      </c>
      <c r="M457" s="3">
        <f>SUMIFS(ledger!$E$2:$E$548, ledger!$C$2:$C$548, B457, ledger!$I$2:$I$548, G457)</f>
        <v>499</v>
      </c>
      <c r="N457" s="3" t="str">
        <f t="shared" si="15"/>
        <v>Standard</v>
      </c>
    </row>
    <row r="458" spans="1:14" x14ac:dyDescent="0.3">
      <c r="A458" s="3" t="str">
        <f>ledger!A458</f>
        <v>TXN100456</v>
      </c>
      <c r="B458" s="3">
        <f>ledger!C458</f>
        <v>17</v>
      </c>
      <c r="C458" s="4" t="str">
        <f>IFERROR(VLOOKUP(B458, merchants!$A$2:$D$41, 2, FALSE), "Merchant not found")</f>
        <v>Merchant_017</v>
      </c>
      <c r="D458" s="3" t="str">
        <f>IFERROR(VLOOKUP(B458, merchants!$A$2:$D$41, 3, FALSE), "Merchant not found")</f>
        <v>grocery</v>
      </c>
      <c r="E458" s="3" t="str">
        <f>IFERROR(VLOOKUP(B458, merchants!$A$2:$D$41, 4, FALSE), "Merchant not found")</f>
        <v>North</v>
      </c>
      <c r="F458" s="4">
        <f>ledger!D458</f>
        <v>46040.863194444442</v>
      </c>
      <c r="G458" s="5">
        <f>ledger!I458</f>
        <v>46040</v>
      </c>
      <c r="H458" s="3">
        <f>ledger!E458</f>
        <v>99</v>
      </c>
      <c r="I458" s="3" t="str">
        <f>ledger!F458</f>
        <v>Netbanking</v>
      </c>
      <c r="J458" s="3" t="str">
        <f>ledger!G458</f>
        <v>captured</v>
      </c>
      <c r="K458" s="9">
        <f>HLOOKUP(I458,Fee!$B$1:$E$2,2,FALSE())</f>
        <v>1.7999999999999999E-2</v>
      </c>
      <c r="L458" s="12">
        <f t="shared" si="14"/>
        <v>1.7819999999999998</v>
      </c>
      <c r="M458" s="3">
        <f>SUMIFS(ledger!$E$2:$E$548, ledger!$C$2:$C$548, B458, ledger!$I$2:$I$548, G458)</f>
        <v>198</v>
      </c>
      <c r="N458" s="3" t="str">
        <f t="shared" si="15"/>
        <v>Standard</v>
      </c>
    </row>
    <row r="459" spans="1:14" x14ac:dyDescent="0.3">
      <c r="A459" s="3" t="str">
        <f>ledger!A459</f>
        <v>TXN100457</v>
      </c>
      <c r="B459" s="3">
        <f>ledger!C459</f>
        <v>32</v>
      </c>
      <c r="C459" s="4" t="str">
        <f>IFERROR(VLOOKUP(B459, merchants!$A$2:$D$41, 2, FALSE), "Merchant not found")</f>
        <v>Merchant_032</v>
      </c>
      <c r="D459" s="3" t="str">
        <f>IFERROR(VLOOKUP(B459, merchants!$A$2:$D$41, 3, FALSE), "Merchant not found")</f>
        <v>food_delivery</v>
      </c>
      <c r="E459" s="3" t="str">
        <f>IFERROR(VLOOKUP(B459, merchants!$A$2:$D$41, 4, FALSE), "Merchant not found")</f>
        <v>West</v>
      </c>
      <c r="F459" s="4">
        <f>ledger!D459</f>
        <v>46049.656944444447</v>
      </c>
      <c r="G459" s="5">
        <f>ledger!I459</f>
        <v>46049</v>
      </c>
      <c r="H459" s="3">
        <f>ledger!E459</f>
        <v>1499</v>
      </c>
      <c r="I459" s="3" t="str">
        <f>ledger!F459</f>
        <v>UPI</v>
      </c>
      <c r="J459" s="3" t="str">
        <f>ledger!G459</f>
        <v>captured</v>
      </c>
      <c r="K459" s="9">
        <f>HLOOKUP(I459,Fee!$B$1:$E$2,2,FALSE())</f>
        <v>5.0000000000000001E-3</v>
      </c>
      <c r="L459" s="12">
        <f t="shared" si="14"/>
        <v>7.4950000000000001</v>
      </c>
      <c r="M459" s="3">
        <f>SUMIFS(ledger!$E$2:$E$548, ledger!$C$2:$C$548, B459, ledger!$I$2:$I$548, G459)</f>
        <v>1499</v>
      </c>
      <c r="N459" s="3" t="str">
        <f t="shared" si="15"/>
        <v>Standard</v>
      </c>
    </row>
    <row r="460" spans="1:14" x14ac:dyDescent="0.3">
      <c r="A460" s="3" t="str">
        <f>ledger!A460</f>
        <v>TXN100458</v>
      </c>
      <c r="B460" s="3">
        <f>ledger!C460</f>
        <v>11</v>
      </c>
      <c r="C460" s="4" t="str">
        <f>IFERROR(VLOOKUP(B460, merchants!$A$2:$D$41, 2, FALSE), "Merchant not found")</f>
        <v>Merchant_011</v>
      </c>
      <c r="D460" s="3" t="str">
        <f>IFERROR(VLOOKUP(B460, merchants!$A$2:$D$41, 3, FALSE), "Merchant not found")</f>
        <v>ecommerce</v>
      </c>
      <c r="E460" s="3" t="str">
        <f>IFERROR(VLOOKUP(B460, merchants!$A$2:$D$41, 4, FALSE), "Merchant not found")</f>
        <v>North</v>
      </c>
      <c r="F460" s="4">
        <f>ledger!D460</f>
        <v>46028.993055555555</v>
      </c>
      <c r="G460" s="5">
        <f>ledger!I460</f>
        <v>46028</v>
      </c>
      <c r="H460" s="3">
        <f>ledger!E460</f>
        <v>1499</v>
      </c>
      <c r="I460" s="3" t="str">
        <f>ledger!F460</f>
        <v>UPI</v>
      </c>
      <c r="J460" s="3" t="str">
        <f>ledger!G460</f>
        <v>captured</v>
      </c>
      <c r="K460" s="9">
        <f>HLOOKUP(I460,Fee!$B$1:$E$2,2,FALSE())</f>
        <v>5.0000000000000001E-3</v>
      </c>
      <c r="L460" s="12">
        <f t="shared" si="14"/>
        <v>7.4950000000000001</v>
      </c>
      <c r="M460" s="3">
        <f>SUMIFS(ledger!$E$2:$E$548, ledger!$C$2:$C$548, B460, ledger!$I$2:$I$548, G460)</f>
        <v>1499</v>
      </c>
      <c r="N460" s="3" t="str">
        <f t="shared" si="15"/>
        <v>Standard</v>
      </c>
    </row>
    <row r="461" spans="1:14" x14ac:dyDescent="0.3">
      <c r="A461" s="3" t="str">
        <f>ledger!A461</f>
        <v>TXN100459</v>
      </c>
      <c r="B461" s="3">
        <f>ledger!C461</f>
        <v>35</v>
      </c>
      <c r="C461" s="4" t="str">
        <f>IFERROR(VLOOKUP(B461, merchants!$A$2:$D$41, 2, FALSE), "Merchant not found")</f>
        <v>Merchant_035</v>
      </c>
      <c r="D461" s="3" t="str">
        <f>IFERROR(VLOOKUP(B461, merchants!$A$2:$D$41, 3, FALSE), "Merchant not found")</f>
        <v>recharge</v>
      </c>
      <c r="E461" s="3" t="str">
        <f>IFERROR(VLOOKUP(B461, merchants!$A$2:$D$41, 4, FALSE), "Merchant not found")</f>
        <v>East</v>
      </c>
      <c r="F461" s="4">
        <f>ledger!D461</f>
        <v>46046.729861111111</v>
      </c>
      <c r="G461" s="5">
        <f>ledger!I461</f>
        <v>46046</v>
      </c>
      <c r="H461" s="3">
        <f>ledger!E461</f>
        <v>149</v>
      </c>
      <c r="I461" s="3" t="str">
        <f>ledger!F461</f>
        <v>Wallet</v>
      </c>
      <c r="J461" s="3" t="str">
        <f>ledger!G461</f>
        <v>captured</v>
      </c>
      <c r="K461" s="9">
        <f>HLOOKUP(I461,Fee!$B$1:$E$2,2,FALSE())</f>
        <v>1.4999999999999999E-2</v>
      </c>
      <c r="L461" s="12">
        <f t="shared" si="14"/>
        <v>2.2349999999999999</v>
      </c>
      <c r="M461" s="3">
        <f>SUMIFS(ledger!$E$2:$E$548, ledger!$C$2:$C$548, B461, ledger!$I$2:$I$548, G461)</f>
        <v>149</v>
      </c>
      <c r="N461" s="3" t="str">
        <f t="shared" si="15"/>
        <v>Standard</v>
      </c>
    </row>
    <row r="462" spans="1:14" x14ac:dyDescent="0.3">
      <c r="A462" s="3" t="str">
        <f>ledger!A462</f>
        <v>TXN100460</v>
      </c>
      <c r="B462" s="3">
        <f>ledger!C462</f>
        <v>4</v>
      </c>
      <c r="C462" s="4" t="str">
        <f>IFERROR(VLOOKUP(B462, merchants!$A$2:$D$41, 2, FALSE), "Merchant not found")</f>
        <v>Merchant_004</v>
      </c>
      <c r="D462" s="3" t="str">
        <f>IFERROR(VLOOKUP(B462, merchants!$A$2:$D$41, 3, FALSE), "Merchant not found")</f>
        <v>ecommerce</v>
      </c>
      <c r="E462" s="3" t="str">
        <f>IFERROR(VLOOKUP(B462, merchants!$A$2:$D$41, 4, FALSE), "Merchant not found")</f>
        <v>East</v>
      </c>
      <c r="F462" s="4">
        <f>ledger!D462</f>
        <v>46024.668055555558</v>
      </c>
      <c r="G462" s="5">
        <f>ledger!I462</f>
        <v>46024</v>
      </c>
      <c r="H462" s="3">
        <f>ledger!E462</f>
        <v>149</v>
      </c>
      <c r="I462" s="3" t="str">
        <f>ledger!F462</f>
        <v>Netbanking</v>
      </c>
      <c r="J462" s="3" t="str">
        <f>ledger!G462</f>
        <v>captured</v>
      </c>
      <c r="K462" s="9">
        <f>HLOOKUP(I462,Fee!$B$1:$E$2,2,FALSE())</f>
        <v>1.7999999999999999E-2</v>
      </c>
      <c r="L462" s="12">
        <f t="shared" si="14"/>
        <v>2.6819999999999999</v>
      </c>
      <c r="M462" s="3">
        <f>SUMIFS(ledger!$E$2:$E$548, ledger!$C$2:$C$548, B462, ledger!$I$2:$I$548, G462)</f>
        <v>149</v>
      </c>
      <c r="N462" s="3" t="str">
        <f t="shared" si="15"/>
        <v>Standard</v>
      </c>
    </row>
    <row r="463" spans="1:14" x14ac:dyDescent="0.3">
      <c r="A463" s="3" t="str">
        <f>ledger!A463</f>
        <v>TXN100461</v>
      </c>
      <c r="B463" s="3">
        <f>ledger!C463</f>
        <v>15</v>
      </c>
      <c r="C463" s="4" t="str">
        <f>IFERROR(VLOOKUP(B463, merchants!$A$2:$D$41, 2, FALSE), "Merchant not found")</f>
        <v>Merchant_015</v>
      </c>
      <c r="D463" s="3" t="str">
        <f>IFERROR(VLOOKUP(B463, merchants!$A$2:$D$41, 3, FALSE), "Merchant not found")</f>
        <v>travel</v>
      </c>
      <c r="E463" s="3" t="str">
        <f>IFERROR(VLOOKUP(B463, merchants!$A$2:$D$41, 4, FALSE), "Merchant not found")</f>
        <v>North</v>
      </c>
      <c r="F463" s="4">
        <f>ledger!D463</f>
        <v>46023.547222222223</v>
      </c>
      <c r="G463" s="5">
        <f>ledger!I463</f>
        <v>46023</v>
      </c>
      <c r="H463" s="3">
        <f>ledger!E463</f>
        <v>499</v>
      </c>
      <c r="I463" s="3" t="str">
        <f>ledger!F463</f>
        <v>UPI</v>
      </c>
      <c r="J463" s="3" t="str">
        <f>ledger!G463</f>
        <v>captured</v>
      </c>
      <c r="K463" s="9">
        <f>HLOOKUP(I463,Fee!$B$1:$E$2,2,FALSE())</f>
        <v>5.0000000000000001E-3</v>
      </c>
      <c r="L463" s="12">
        <f t="shared" si="14"/>
        <v>2.4950000000000001</v>
      </c>
      <c r="M463" s="3">
        <f>SUMIFS(ledger!$E$2:$E$548, ledger!$C$2:$C$548, B463, ledger!$I$2:$I$548, G463)</f>
        <v>499</v>
      </c>
      <c r="N463" s="3" t="str">
        <f t="shared" si="15"/>
        <v>Standard</v>
      </c>
    </row>
    <row r="464" spans="1:14" x14ac:dyDescent="0.3">
      <c r="A464" s="3" t="str">
        <f>ledger!A464</f>
        <v>TXN100462</v>
      </c>
      <c r="B464" s="3">
        <f>ledger!C464</f>
        <v>33</v>
      </c>
      <c r="C464" s="4" t="str">
        <f>IFERROR(VLOOKUP(B464, merchants!$A$2:$D$41, 2, FALSE), "Merchant not found")</f>
        <v>Merchant_033</v>
      </c>
      <c r="D464" s="3" t="str">
        <f>IFERROR(VLOOKUP(B464, merchants!$A$2:$D$41, 3, FALSE), "Merchant not found")</f>
        <v>bill_payment</v>
      </c>
      <c r="E464" s="3" t="str">
        <f>IFERROR(VLOOKUP(B464, merchants!$A$2:$D$41, 4, FALSE), "Merchant not found")</f>
        <v>East</v>
      </c>
      <c r="F464" s="4">
        <f>ledger!D464</f>
        <v>46045.166666666664</v>
      </c>
      <c r="G464" s="5">
        <f>ledger!I464</f>
        <v>46045</v>
      </c>
      <c r="H464" s="3">
        <f>ledger!E464</f>
        <v>49</v>
      </c>
      <c r="I464" s="3" t="str">
        <f>ledger!F464</f>
        <v>Netbanking</v>
      </c>
      <c r="J464" s="3" t="str">
        <f>ledger!G464</f>
        <v>captured</v>
      </c>
      <c r="K464" s="9">
        <f>HLOOKUP(I464,Fee!$B$1:$E$2,2,FALSE())</f>
        <v>1.7999999999999999E-2</v>
      </c>
      <c r="L464" s="12">
        <f t="shared" si="14"/>
        <v>0.8819999999999999</v>
      </c>
      <c r="M464" s="3">
        <f>SUMIFS(ledger!$E$2:$E$548, ledger!$C$2:$C$548, B464, ledger!$I$2:$I$548, G464)</f>
        <v>49</v>
      </c>
      <c r="N464" s="3" t="str">
        <f t="shared" si="15"/>
        <v>Standard</v>
      </c>
    </row>
    <row r="465" spans="1:14" x14ac:dyDescent="0.3">
      <c r="A465" s="3" t="str">
        <f>ledger!A465</f>
        <v>TXN100463</v>
      </c>
      <c r="B465" s="3">
        <f>ledger!C465</f>
        <v>40</v>
      </c>
      <c r="C465" s="4" t="str">
        <f>IFERROR(VLOOKUP(B465, merchants!$A$2:$D$41, 2, FALSE), "Merchant not found")</f>
        <v>Merchant_040</v>
      </c>
      <c r="D465" s="3" t="str">
        <f>IFERROR(VLOOKUP(B465, merchants!$A$2:$D$41, 3, FALSE), "Merchant not found")</f>
        <v>entertainment</v>
      </c>
      <c r="E465" s="3" t="str">
        <f>IFERROR(VLOOKUP(B465, merchants!$A$2:$D$41, 4, FALSE), "Merchant not found")</f>
        <v>South</v>
      </c>
      <c r="F465" s="4">
        <f>ledger!D465</f>
        <v>46034.068749999999</v>
      </c>
      <c r="G465" s="5">
        <f>ledger!I465</f>
        <v>46034</v>
      </c>
      <c r="H465" s="3">
        <f>ledger!E465</f>
        <v>99</v>
      </c>
      <c r="I465" s="3" t="str">
        <f>ledger!F465</f>
        <v>UPI</v>
      </c>
      <c r="J465" s="3" t="str">
        <f>ledger!G465</f>
        <v>captured</v>
      </c>
      <c r="K465" s="9">
        <f>HLOOKUP(I465,Fee!$B$1:$E$2,2,FALSE())</f>
        <v>5.0000000000000001E-3</v>
      </c>
      <c r="L465" s="12">
        <f t="shared" si="14"/>
        <v>0.495</v>
      </c>
      <c r="M465" s="3">
        <f>SUMIFS(ledger!$E$2:$E$548, ledger!$C$2:$C$548, B465, ledger!$I$2:$I$548, G465)</f>
        <v>99</v>
      </c>
      <c r="N465" s="3" t="str">
        <f t="shared" si="15"/>
        <v>Standard</v>
      </c>
    </row>
    <row r="466" spans="1:14" x14ac:dyDescent="0.3">
      <c r="A466" s="3" t="str">
        <f>ledger!A466</f>
        <v>TXN100464</v>
      </c>
      <c r="B466" s="3">
        <f>ledger!C466</f>
        <v>35</v>
      </c>
      <c r="C466" s="4" t="str">
        <f>IFERROR(VLOOKUP(B466, merchants!$A$2:$D$41, 2, FALSE), "Merchant not found")</f>
        <v>Merchant_035</v>
      </c>
      <c r="D466" s="3" t="str">
        <f>IFERROR(VLOOKUP(B466, merchants!$A$2:$D$41, 3, FALSE), "Merchant not found")</f>
        <v>recharge</v>
      </c>
      <c r="E466" s="3" t="str">
        <f>IFERROR(VLOOKUP(B466, merchants!$A$2:$D$41, 4, FALSE), "Merchant not found")</f>
        <v>East</v>
      </c>
      <c r="F466" s="4">
        <f>ledger!D466</f>
        <v>46044.625694444447</v>
      </c>
      <c r="G466" s="5">
        <f>ledger!I466</f>
        <v>46044</v>
      </c>
      <c r="H466" s="3">
        <f>ledger!E466</f>
        <v>299</v>
      </c>
      <c r="I466" s="3" t="str">
        <f>ledger!F466</f>
        <v>UPI</v>
      </c>
      <c r="J466" s="3" t="str">
        <f>ledger!G466</f>
        <v>captured</v>
      </c>
      <c r="K466" s="9">
        <f>HLOOKUP(I466,Fee!$B$1:$E$2,2,FALSE())</f>
        <v>5.0000000000000001E-3</v>
      </c>
      <c r="L466" s="12">
        <f t="shared" si="14"/>
        <v>1.4950000000000001</v>
      </c>
      <c r="M466" s="3">
        <f>SUMIFS(ledger!$E$2:$E$548, ledger!$C$2:$C$548, B466, ledger!$I$2:$I$548, G466)</f>
        <v>299</v>
      </c>
      <c r="N466" s="3" t="str">
        <f t="shared" si="15"/>
        <v>Standard</v>
      </c>
    </row>
    <row r="467" spans="1:14" x14ac:dyDescent="0.3">
      <c r="A467" s="3" t="str">
        <f>ledger!A467</f>
        <v>TXN100465</v>
      </c>
      <c r="B467" s="3">
        <f>ledger!C467</f>
        <v>18</v>
      </c>
      <c r="C467" s="4" t="str">
        <f>IFERROR(VLOOKUP(B467, merchants!$A$2:$D$41, 2, FALSE), "Merchant not found")</f>
        <v>Merchant_018</v>
      </c>
      <c r="D467" s="3" t="str">
        <f>IFERROR(VLOOKUP(B467, merchants!$A$2:$D$41, 3, FALSE), "Merchant not found")</f>
        <v>grocery</v>
      </c>
      <c r="E467" s="3" t="str">
        <f>IFERROR(VLOOKUP(B467, merchants!$A$2:$D$41, 4, FALSE), "Merchant not found")</f>
        <v>West</v>
      </c>
      <c r="F467" s="4">
        <f>ledger!D467</f>
        <v>46036.000694444447</v>
      </c>
      <c r="G467" s="5">
        <f>ledger!I467</f>
        <v>46036</v>
      </c>
      <c r="H467" s="3">
        <f>ledger!E467</f>
        <v>149</v>
      </c>
      <c r="I467" s="3" t="str">
        <f>ledger!F467</f>
        <v>UPI</v>
      </c>
      <c r="J467" s="3" t="str">
        <f>ledger!G467</f>
        <v>captured</v>
      </c>
      <c r="K467" s="9">
        <f>HLOOKUP(I467,Fee!$B$1:$E$2,2,FALSE())</f>
        <v>5.0000000000000001E-3</v>
      </c>
      <c r="L467" s="12">
        <f t="shared" si="14"/>
        <v>0.745</v>
      </c>
      <c r="M467" s="3">
        <f>SUMIFS(ledger!$E$2:$E$548, ledger!$C$2:$C$548, B467, ledger!$I$2:$I$548, G467)</f>
        <v>149</v>
      </c>
      <c r="N467" s="3" t="str">
        <f t="shared" si="15"/>
        <v>Standard</v>
      </c>
    </row>
    <row r="468" spans="1:14" x14ac:dyDescent="0.3">
      <c r="A468" s="3" t="str">
        <f>ledger!A468</f>
        <v>TXN100466</v>
      </c>
      <c r="B468" s="3">
        <f>ledger!C468</f>
        <v>28</v>
      </c>
      <c r="C468" s="4" t="str">
        <f>IFERROR(VLOOKUP(B468, merchants!$A$2:$D$41, 2, FALSE), "Merchant not found")</f>
        <v>Merchant_028</v>
      </c>
      <c r="D468" s="3" t="str">
        <f>IFERROR(VLOOKUP(B468, merchants!$A$2:$D$41, 3, FALSE), "Merchant not found")</f>
        <v>ecommerce</v>
      </c>
      <c r="E468" s="3" t="str">
        <f>IFERROR(VLOOKUP(B468, merchants!$A$2:$D$41, 4, FALSE), "Merchant not found")</f>
        <v>South</v>
      </c>
      <c r="F468" s="4">
        <f>ledger!D468</f>
        <v>46032.022222222222</v>
      </c>
      <c r="G468" s="5">
        <f>ledger!I468</f>
        <v>46032</v>
      </c>
      <c r="H468" s="3">
        <f>ledger!E468</f>
        <v>499</v>
      </c>
      <c r="I468" s="3" t="str">
        <f>ledger!F468</f>
        <v>UPI</v>
      </c>
      <c r="J468" s="3" t="str">
        <f>ledger!G468</f>
        <v>captured</v>
      </c>
      <c r="K468" s="9">
        <f>HLOOKUP(I468,Fee!$B$1:$E$2,2,FALSE())</f>
        <v>5.0000000000000001E-3</v>
      </c>
      <c r="L468" s="12">
        <f t="shared" si="14"/>
        <v>2.4950000000000001</v>
      </c>
      <c r="M468" s="3">
        <f>SUMIFS(ledger!$E$2:$E$548, ledger!$C$2:$C$548, B468, ledger!$I$2:$I$548, G468)</f>
        <v>499</v>
      </c>
      <c r="N468" s="3" t="str">
        <f t="shared" si="15"/>
        <v>Standard</v>
      </c>
    </row>
    <row r="469" spans="1:14" x14ac:dyDescent="0.3">
      <c r="A469" s="3" t="str">
        <f>ledger!A469</f>
        <v>TXN100467</v>
      </c>
      <c r="B469" s="3">
        <f>ledger!C469</f>
        <v>16</v>
      </c>
      <c r="C469" s="4" t="str">
        <f>IFERROR(VLOOKUP(B469, merchants!$A$2:$D$41, 2, FALSE), "Merchant not found")</f>
        <v>Merchant_016</v>
      </c>
      <c r="D469" s="3" t="str">
        <f>IFERROR(VLOOKUP(B469, merchants!$A$2:$D$41, 3, FALSE), "Merchant not found")</f>
        <v>bill_payment</v>
      </c>
      <c r="E469" s="3" t="str">
        <f>IFERROR(VLOOKUP(B469, merchants!$A$2:$D$41, 4, FALSE), "Merchant not found")</f>
        <v>West</v>
      </c>
      <c r="F469" s="4">
        <f>ledger!D469</f>
        <v>46026.147916666669</v>
      </c>
      <c r="G469" s="5">
        <f>ledger!I469</f>
        <v>46026</v>
      </c>
      <c r="H469" s="3">
        <f>ledger!E469</f>
        <v>49</v>
      </c>
      <c r="I469" s="3" t="str">
        <f>ledger!F469</f>
        <v>Wallet</v>
      </c>
      <c r="J469" s="3" t="str">
        <f>ledger!G469</f>
        <v>captured</v>
      </c>
      <c r="K469" s="9">
        <f>HLOOKUP(I469,Fee!$B$1:$E$2,2,FALSE())</f>
        <v>1.4999999999999999E-2</v>
      </c>
      <c r="L469" s="12">
        <f t="shared" si="14"/>
        <v>0.73499999999999999</v>
      </c>
      <c r="M469" s="3">
        <f>SUMIFS(ledger!$E$2:$E$548, ledger!$C$2:$C$548, B469, ledger!$I$2:$I$548, G469)</f>
        <v>49</v>
      </c>
      <c r="N469" s="3" t="str">
        <f t="shared" si="15"/>
        <v>Standard</v>
      </c>
    </row>
    <row r="470" spans="1:14" x14ac:dyDescent="0.3">
      <c r="A470" s="3" t="str">
        <f>ledger!A470</f>
        <v>TXN100468</v>
      </c>
      <c r="B470" s="3">
        <f>ledger!C470</f>
        <v>18</v>
      </c>
      <c r="C470" s="4" t="str">
        <f>IFERROR(VLOOKUP(B470, merchants!$A$2:$D$41, 2, FALSE), "Merchant not found")</f>
        <v>Merchant_018</v>
      </c>
      <c r="D470" s="3" t="str">
        <f>IFERROR(VLOOKUP(B470, merchants!$A$2:$D$41, 3, FALSE), "Merchant not found")</f>
        <v>grocery</v>
      </c>
      <c r="E470" s="3" t="str">
        <f>IFERROR(VLOOKUP(B470, merchants!$A$2:$D$41, 4, FALSE), "Merchant not found")</f>
        <v>West</v>
      </c>
      <c r="F470" s="4">
        <f>ledger!D470</f>
        <v>46042.677777777775</v>
      </c>
      <c r="G470" s="5">
        <f>ledger!I470</f>
        <v>46042</v>
      </c>
      <c r="H470" s="3">
        <f>ledger!E470</f>
        <v>149</v>
      </c>
      <c r="I470" s="3" t="str">
        <f>ledger!F470</f>
        <v>Card</v>
      </c>
      <c r="J470" s="3" t="str">
        <f>ledger!G470</f>
        <v>captured</v>
      </c>
      <c r="K470" s="9">
        <f>HLOOKUP(I470,Fee!$B$1:$E$2,2,FALSE())</f>
        <v>0.02</v>
      </c>
      <c r="L470" s="12">
        <f t="shared" si="14"/>
        <v>2.98</v>
      </c>
      <c r="M470" s="3">
        <f>SUMIFS(ledger!$E$2:$E$548, ledger!$C$2:$C$548, B470, ledger!$I$2:$I$548, G470)</f>
        <v>149</v>
      </c>
      <c r="N470" s="3" t="str">
        <f t="shared" si="15"/>
        <v>Standard</v>
      </c>
    </row>
    <row r="471" spans="1:14" x14ac:dyDescent="0.3">
      <c r="A471" s="3" t="str">
        <f>ledger!A471</f>
        <v>TXN100469</v>
      </c>
      <c r="B471" s="3">
        <f>ledger!C471</f>
        <v>37</v>
      </c>
      <c r="C471" s="4" t="str">
        <f>IFERROR(VLOOKUP(B471, merchants!$A$2:$D$41, 2, FALSE), "Merchant not found")</f>
        <v>Merchant_037</v>
      </c>
      <c r="D471" s="3" t="str">
        <f>IFERROR(VLOOKUP(B471, merchants!$A$2:$D$41, 3, FALSE), "Merchant not found")</f>
        <v>entertainment</v>
      </c>
      <c r="E471" s="3" t="str">
        <f>IFERROR(VLOOKUP(B471, merchants!$A$2:$D$41, 4, FALSE), "Merchant not found")</f>
        <v>South</v>
      </c>
      <c r="F471" s="4">
        <f>ledger!D471</f>
        <v>46025.475694444445</v>
      </c>
      <c r="G471" s="5">
        <f>ledger!I471</f>
        <v>46025</v>
      </c>
      <c r="H471" s="3">
        <f>ledger!E471</f>
        <v>299</v>
      </c>
      <c r="I471" s="3" t="str">
        <f>ledger!F471</f>
        <v>Card</v>
      </c>
      <c r="J471" s="3" t="str">
        <f>ledger!G471</f>
        <v>captured</v>
      </c>
      <c r="K471" s="9">
        <f>HLOOKUP(I471,Fee!$B$1:$E$2,2,FALSE())</f>
        <v>0.02</v>
      </c>
      <c r="L471" s="12">
        <f t="shared" si="14"/>
        <v>5.98</v>
      </c>
      <c r="M471" s="3">
        <f>SUMIFS(ledger!$E$2:$E$548, ledger!$C$2:$C$548, B471, ledger!$I$2:$I$548, G471)</f>
        <v>299</v>
      </c>
      <c r="N471" s="3" t="str">
        <f t="shared" si="15"/>
        <v>Standard</v>
      </c>
    </row>
    <row r="472" spans="1:14" x14ac:dyDescent="0.3">
      <c r="A472" s="3" t="str">
        <f>ledger!A472</f>
        <v>TXN100470</v>
      </c>
      <c r="B472" s="3">
        <f>ledger!C472</f>
        <v>3</v>
      </c>
      <c r="C472" s="4" t="str">
        <f>IFERROR(VLOOKUP(B472, merchants!$A$2:$D$41, 2, FALSE), "Merchant not found")</f>
        <v>Merchant_003</v>
      </c>
      <c r="D472" s="3" t="str">
        <f>IFERROR(VLOOKUP(B472, merchants!$A$2:$D$41, 3, FALSE), "Merchant not found")</f>
        <v>grocery</v>
      </c>
      <c r="E472" s="3" t="str">
        <f>IFERROR(VLOOKUP(B472, merchants!$A$2:$D$41, 4, FALSE), "Merchant not found")</f>
        <v>East</v>
      </c>
      <c r="F472" s="4">
        <f>ledger!D472</f>
        <v>46045.304861111108</v>
      </c>
      <c r="G472" s="5">
        <f>ledger!I472</f>
        <v>46045</v>
      </c>
      <c r="H472" s="3">
        <f>ledger!E472</f>
        <v>49</v>
      </c>
      <c r="I472" s="3" t="str">
        <f>ledger!F472</f>
        <v>UPI</v>
      </c>
      <c r="J472" s="3" t="str">
        <f>ledger!G472</f>
        <v>captured</v>
      </c>
      <c r="K472" s="9">
        <f>HLOOKUP(I472,Fee!$B$1:$E$2,2,FALSE())</f>
        <v>5.0000000000000001E-3</v>
      </c>
      <c r="L472" s="12">
        <f t="shared" si="14"/>
        <v>0.245</v>
      </c>
      <c r="M472" s="3">
        <f>SUMIFS(ledger!$E$2:$E$548, ledger!$C$2:$C$548, B472, ledger!$I$2:$I$548, G472)</f>
        <v>49</v>
      </c>
      <c r="N472" s="3" t="str">
        <f t="shared" si="15"/>
        <v>Standard</v>
      </c>
    </row>
    <row r="473" spans="1:14" x14ac:dyDescent="0.3">
      <c r="A473" s="3" t="str">
        <f>ledger!A473</f>
        <v>TXN100471</v>
      </c>
      <c r="B473" s="3">
        <f>ledger!C473</f>
        <v>31</v>
      </c>
      <c r="C473" s="4" t="str">
        <f>IFERROR(VLOOKUP(B473, merchants!$A$2:$D$41, 2, FALSE), "Merchant not found")</f>
        <v>Merchant_031</v>
      </c>
      <c r="D473" s="3" t="str">
        <f>IFERROR(VLOOKUP(B473, merchants!$A$2:$D$41, 3, FALSE), "Merchant not found")</f>
        <v>bill_payment</v>
      </c>
      <c r="E473" s="3" t="str">
        <f>IFERROR(VLOOKUP(B473, merchants!$A$2:$D$41, 4, FALSE), "Merchant not found")</f>
        <v>East</v>
      </c>
      <c r="F473" s="4">
        <f>ledger!D473</f>
        <v>46035.51666666667</v>
      </c>
      <c r="G473" s="5">
        <f>ledger!I473</f>
        <v>46035</v>
      </c>
      <c r="H473" s="3">
        <f>ledger!E473</f>
        <v>299</v>
      </c>
      <c r="I473" s="3" t="str">
        <f>ledger!F473</f>
        <v>Netbanking</v>
      </c>
      <c r="J473" s="3" t="str">
        <f>ledger!G473</f>
        <v>captured</v>
      </c>
      <c r="K473" s="9">
        <f>HLOOKUP(I473,Fee!$B$1:$E$2,2,FALSE())</f>
        <v>1.7999999999999999E-2</v>
      </c>
      <c r="L473" s="12">
        <f t="shared" si="14"/>
        <v>5.3819999999999997</v>
      </c>
      <c r="M473" s="3">
        <f>SUMIFS(ledger!$E$2:$E$548, ledger!$C$2:$C$548, B473, ledger!$I$2:$I$548, G473)</f>
        <v>299</v>
      </c>
      <c r="N473" s="3" t="str">
        <f t="shared" si="15"/>
        <v>Standard</v>
      </c>
    </row>
    <row r="474" spans="1:14" x14ac:dyDescent="0.3">
      <c r="A474" s="3" t="str">
        <f>ledger!A474</f>
        <v>TXN100472</v>
      </c>
      <c r="B474" s="3">
        <f>ledger!C474</f>
        <v>6</v>
      </c>
      <c r="C474" s="4" t="str">
        <f>IFERROR(VLOOKUP(B474, merchants!$A$2:$D$41, 2, FALSE), "Merchant not found")</f>
        <v>Merchant_006</v>
      </c>
      <c r="D474" s="3" t="str">
        <f>IFERROR(VLOOKUP(B474, merchants!$A$2:$D$41, 3, FALSE), "Merchant not found")</f>
        <v>food_delivery</v>
      </c>
      <c r="E474" s="3" t="str">
        <f>IFERROR(VLOOKUP(B474, merchants!$A$2:$D$41, 4, FALSE), "Merchant not found")</f>
        <v>South</v>
      </c>
      <c r="F474" s="4">
        <f>ledger!D474</f>
        <v>46043.030555555553</v>
      </c>
      <c r="G474" s="5">
        <f>ledger!I474</f>
        <v>46043</v>
      </c>
      <c r="H474" s="3">
        <f>ledger!E474</f>
        <v>49</v>
      </c>
      <c r="I474" s="3" t="str">
        <f>ledger!F474</f>
        <v>UPI</v>
      </c>
      <c r="J474" s="3" t="str">
        <f>ledger!G474</f>
        <v>captured</v>
      </c>
      <c r="K474" s="9">
        <f>HLOOKUP(I474,Fee!$B$1:$E$2,2,FALSE())</f>
        <v>5.0000000000000001E-3</v>
      </c>
      <c r="L474" s="12">
        <f t="shared" si="14"/>
        <v>0.245</v>
      </c>
      <c r="M474" s="3">
        <f>SUMIFS(ledger!$E$2:$E$548, ledger!$C$2:$C$548, B474, ledger!$I$2:$I$548, G474)</f>
        <v>49</v>
      </c>
      <c r="N474" s="3" t="str">
        <f t="shared" si="15"/>
        <v>Standard</v>
      </c>
    </row>
    <row r="475" spans="1:14" x14ac:dyDescent="0.3">
      <c r="A475" s="3" t="str">
        <f>ledger!A475</f>
        <v>TXN100473</v>
      </c>
      <c r="B475" s="3">
        <f>ledger!C475</f>
        <v>37</v>
      </c>
      <c r="C475" s="4" t="str">
        <f>IFERROR(VLOOKUP(B475, merchants!$A$2:$D$41, 2, FALSE), "Merchant not found")</f>
        <v>Merchant_037</v>
      </c>
      <c r="D475" s="3" t="str">
        <f>IFERROR(VLOOKUP(B475, merchants!$A$2:$D$41, 3, FALSE), "Merchant not found")</f>
        <v>entertainment</v>
      </c>
      <c r="E475" s="3" t="str">
        <f>IFERROR(VLOOKUP(B475, merchants!$A$2:$D$41, 4, FALSE), "Merchant not found")</f>
        <v>South</v>
      </c>
      <c r="F475" s="4">
        <f>ledger!D475</f>
        <v>46050.570138888892</v>
      </c>
      <c r="G475" s="5">
        <f>ledger!I475</f>
        <v>46050</v>
      </c>
      <c r="H475" s="3">
        <f>ledger!E475</f>
        <v>99</v>
      </c>
      <c r="I475" s="3" t="str">
        <f>ledger!F475</f>
        <v>UPI</v>
      </c>
      <c r="J475" s="3" t="str">
        <f>ledger!G475</f>
        <v>failed</v>
      </c>
      <c r="K475" s="9">
        <f>HLOOKUP(I475,Fee!$B$1:$E$2,2,FALSE())</f>
        <v>5.0000000000000001E-3</v>
      </c>
      <c r="L475" s="12">
        <f t="shared" si="14"/>
        <v>0.495</v>
      </c>
      <c r="M475" s="3">
        <f>SUMIFS(ledger!$E$2:$E$548, ledger!$C$2:$C$548, B475, ledger!$I$2:$I$548, G475)</f>
        <v>697</v>
      </c>
      <c r="N475" s="3" t="str">
        <f t="shared" si="15"/>
        <v>Standard</v>
      </c>
    </row>
    <row r="476" spans="1:14" x14ac:dyDescent="0.3">
      <c r="A476" s="3" t="str">
        <f>ledger!A476</f>
        <v>TXN100474</v>
      </c>
      <c r="B476" s="3">
        <f>ledger!C476</f>
        <v>15</v>
      </c>
      <c r="C476" s="4" t="str">
        <f>IFERROR(VLOOKUP(B476, merchants!$A$2:$D$41, 2, FALSE), "Merchant not found")</f>
        <v>Merchant_015</v>
      </c>
      <c r="D476" s="3" t="str">
        <f>IFERROR(VLOOKUP(B476, merchants!$A$2:$D$41, 3, FALSE), "Merchant not found")</f>
        <v>travel</v>
      </c>
      <c r="E476" s="3" t="str">
        <f>IFERROR(VLOOKUP(B476, merchants!$A$2:$D$41, 4, FALSE), "Merchant not found")</f>
        <v>North</v>
      </c>
      <c r="F476" s="4">
        <f>ledger!D476</f>
        <v>46051.706944444442</v>
      </c>
      <c r="G476" s="5">
        <f>ledger!I476</f>
        <v>46051</v>
      </c>
      <c r="H476" s="3">
        <f>ledger!E476</f>
        <v>49</v>
      </c>
      <c r="I476" s="3" t="str">
        <f>ledger!F476</f>
        <v>Netbanking</v>
      </c>
      <c r="J476" s="3" t="str">
        <f>ledger!G476</f>
        <v>captured</v>
      </c>
      <c r="K476" s="9">
        <f>HLOOKUP(I476,Fee!$B$1:$E$2,2,FALSE())</f>
        <v>1.7999999999999999E-2</v>
      </c>
      <c r="L476" s="12">
        <f t="shared" si="14"/>
        <v>0.8819999999999999</v>
      </c>
      <c r="M476" s="3">
        <f>SUMIFS(ledger!$E$2:$E$548, ledger!$C$2:$C$548, B476, ledger!$I$2:$I$548, G476)</f>
        <v>98</v>
      </c>
      <c r="N476" s="3" t="str">
        <f t="shared" si="15"/>
        <v>Standard</v>
      </c>
    </row>
    <row r="477" spans="1:14" x14ac:dyDescent="0.3">
      <c r="A477" s="3" t="str">
        <f>ledger!A477</f>
        <v>TXN100475</v>
      </c>
      <c r="B477" s="3">
        <f>ledger!C477</f>
        <v>31</v>
      </c>
      <c r="C477" s="4" t="str">
        <f>IFERROR(VLOOKUP(B477, merchants!$A$2:$D$41, 2, FALSE), "Merchant not found")</f>
        <v>Merchant_031</v>
      </c>
      <c r="D477" s="3" t="str">
        <f>IFERROR(VLOOKUP(B477, merchants!$A$2:$D$41, 3, FALSE), "Merchant not found")</f>
        <v>bill_payment</v>
      </c>
      <c r="E477" s="3" t="str">
        <f>IFERROR(VLOOKUP(B477, merchants!$A$2:$D$41, 4, FALSE), "Merchant not found")</f>
        <v>East</v>
      </c>
      <c r="F477" s="4">
        <f>ledger!D477</f>
        <v>46051.955555555556</v>
      </c>
      <c r="G477" s="5">
        <f>ledger!I477</f>
        <v>46051</v>
      </c>
      <c r="H477" s="3">
        <f>ledger!E477</f>
        <v>49</v>
      </c>
      <c r="I477" s="3" t="str">
        <f>ledger!F477</f>
        <v>Netbanking</v>
      </c>
      <c r="J477" s="3" t="str">
        <f>ledger!G477</f>
        <v>failed</v>
      </c>
      <c r="K477" s="9">
        <f>HLOOKUP(I477,Fee!$B$1:$E$2,2,FALSE())</f>
        <v>1.7999999999999999E-2</v>
      </c>
      <c r="L477" s="12">
        <f t="shared" si="14"/>
        <v>0.8819999999999999</v>
      </c>
      <c r="M477" s="3">
        <f>SUMIFS(ledger!$E$2:$E$548, ledger!$C$2:$C$548, B477, ledger!$I$2:$I$548, G477)</f>
        <v>49</v>
      </c>
      <c r="N477" s="3" t="str">
        <f t="shared" si="15"/>
        <v>Standard</v>
      </c>
    </row>
    <row r="478" spans="1:14" x14ac:dyDescent="0.3">
      <c r="A478" s="3" t="str">
        <f>ledger!A478</f>
        <v>TXN100476</v>
      </c>
      <c r="B478" s="3">
        <f>ledger!C478</f>
        <v>35</v>
      </c>
      <c r="C478" s="4" t="str">
        <f>IFERROR(VLOOKUP(B478, merchants!$A$2:$D$41, 2, FALSE), "Merchant not found")</f>
        <v>Merchant_035</v>
      </c>
      <c r="D478" s="3" t="str">
        <f>IFERROR(VLOOKUP(B478, merchants!$A$2:$D$41, 3, FALSE), "Merchant not found")</f>
        <v>recharge</v>
      </c>
      <c r="E478" s="3" t="str">
        <f>IFERROR(VLOOKUP(B478, merchants!$A$2:$D$41, 4, FALSE), "Merchant not found")</f>
        <v>East</v>
      </c>
      <c r="F478" s="4">
        <f>ledger!D478</f>
        <v>46024.113194444442</v>
      </c>
      <c r="G478" s="5">
        <f>ledger!I478</f>
        <v>46024</v>
      </c>
      <c r="H478" s="3">
        <f>ledger!E478</f>
        <v>1499</v>
      </c>
      <c r="I478" s="3" t="str">
        <f>ledger!F478</f>
        <v>UPI</v>
      </c>
      <c r="J478" s="3" t="str">
        <f>ledger!G478</f>
        <v>captured</v>
      </c>
      <c r="K478" s="9">
        <f>HLOOKUP(I478,Fee!$B$1:$E$2,2,FALSE())</f>
        <v>5.0000000000000001E-3</v>
      </c>
      <c r="L478" s="12">
        <f t="shared" si="14"/>
        <v>7.4950000000000001</v>
      </c>
      <c r="M478" s="3">
        <f>SUMIFS(ledger!$E$2:$E$548, ledger!$C$2:$C$548, B478, ledger!$I$2:$I$548, G478)</f>
        <v>1847</v>
      </c>
      <c r="N478" s="3" t="str">
        <f t="shared" si="15"/>
        <v>Standard</v>
      </c>
    </row>
    <row r="479" spans="1:14" x14ac:dyDescent="0.3">
      <c r="A479" s="3" t="str">
        <f>ledger!A479</f>
        <v>TXN100477</v>
      </c>
      <c r="B479" s="3">
        <f>ledger!C479</f>
        <v>2</v>
      </c>
      <c r="C479" s="4" t="str">
        <f>IFERROR(VLOOKUP(B479, merchants!$A$2:$D$41, 2, FALSE), "Merchant not found")</f>
        <v>Merchant_002</v>
      </c>
      <c r="D479" s="3" t="str">
        <f>IFERROR(VLOOKUP(B479, merchants!$A$2:$D$41, 3, FALSE), "Merchant not found")</f>
        <v>grocery</v>
      </c>
      <c r="E479" s="3" t="str">
        <f>IFERROR(VLOOKUP(B479, merchants!$A$2:$D$41, 4, FALSE), "Merchant not found")</f>
        <v>West</v>
      </c>
      <c r="F479" s="4">
        <f>ledger!D479</f>
        <v>46044.049305555556</v>
      </c>
      <c r="G479" s="5">
        <f>ledger!I479</f>
        <v>46044</v>
      </c>
      <c r="H479" s="3">
        <f>ledger!E479</f>
        <v>299</v>
      </c>
      <c r="I479" s="3" t="str">
        <f>ledger!F479</f>
        <v>Wallet</v>
      </c>
      <c r="J479" s="3" t="str">
        <f>ledger!G479</f>
        <v>captured</v>
      </c>
      <c r="K479" s="9">
        <f>HLOOKUP(I479,Fee!$B$1:$E$2,2,FALSE())</f>
        <v>1.4999999999999999E-2</v>
      </c>
      <c r="L479" s="12">
        <f t="shared" si="14"/>
        <v>4.4849999999999994</v>
      </c>
      <c r="M479" s="3">
        <f>SUMIFS(ledger!$E$2:$E$548, ledger!$C$2:$C$548, B479, ledger!$I$2:$I$548, G479)</f>
        <v>299</v>
      </c>
      <c r="N479" s="3" t="str">
        <f t="shared" si="15"/>
        <v>Standard</v>
      </c>
    </row>
    <row r="480" spans="1:14" x14ac:dyDescent="0.3">
      <c r="A480" s="3" t="str">
        <f>ledger!A480</f>
        <v>TXN100478</v>
      </c>
      <c r="B480" s="3">
        <f>ledger!C480</f>
        <v>5</v>
      </c>
      <c r="C480" s="4" t="str">
        <f>IFERROR(VLOOKUP(B480, merchants!$A$2:$D$41, 2, FALSE), "Merchant not found")</f>
        <v>Merchant_005</v>
      </c>
      <c r="D480" s="3" t="str">
        <f>IFERROR(VLOOKUP(B480, merchants!$A$2:$D$41, 3, FALSE), "Merchant not found")</f>
        <v>recharge</v>
      </c>
      <c r="E480" s="3" t="str">
        <f>IFERROR(VLOOKUP(B480, merchants!$A$2:$D$41, 4, FALSE), "Merchant not found")</f>
        <v>South</v>
      </c>
      <c r="F480" s="4">
        <f>ledger!D480</f>
        <v>46041.2</v>
      </c>
      <c r="G480" s="5">
        <f>ledger!I480</f>
        <v>46041</v>
      </c>
      <c r="H480" s="3">
        <f>ledger!E480</f>
        <v>49</v>
      </c>
      <c r="I480" s="3" t="str">
        <f>ledger!F480</f>
        <v>UPI</v>
      </c>
      <c r="J480" s="3" t="str">
        <f>ledger!G480</f>
        <v>captured</v>
      </c>
      <c r="K480" s="9">
        <f>HLOOKUP(I480,Fee!$B$1:$E$2,2,FALSE())</f>
        <v>5.0000000000000001E-3</v>
      </c>
      <c r="L480" s="12">
        <f t="shared" si="14"/>
        <v>0.245</v>
      </c>
      <c r="M480" s="3">
        <f>SUMIFS(ledger!$E$2:$E$548, ledger!$C$2:$C$548, B480, ledger!$I$2:$I$548, G480)</f>
        <v>49</v>
      </c>
      <c r="N480" s="3" t="str">
        <f t="shared" si="15"/>
        <v>Standard</v>
      </c>
    </row>
    <row r="481" spans="1:14" x14ac:dyDescent="0.3">
      <c r="A481" s="3" t="str">
        <f>ledger!A481</f>
        <v>TXN100479</v>
      </c>
      <c r="B481" s="3">
        <f>ledger!C481</f>
        <v>25</v>
      </c>
      <c r="C481" s="4" t="str">
        <f>IFERROR(VLOOKUP(B481, merchants!$A$2:$D$41, 2, FALSE), "Merchant not found")</f>
        <v>Merchant_025</v>
      </c>
      <c r="D481" s="3" t="str">
        <f>IFERROR(VLOOKUP(B481, merchants!$A$2:$D$41, 3, FALSE), "Merchant not found")</f>
        <v>travel</v>
      </c>
      <c r="E481" s="3" t="str">
        <f>IFERROR(VLOOKUP(B481, merchants!$A$2:$D$41, 4, FALSE), "Merchant not found")</f>
        <v>South</v>
      </c>
      <c r="F481" s="4">
        <f>ledger!D481</f>
        <v>46028.760416666664</v>
      </c>
      <c r="G481" s="5">
        <f>ledger!I481</f>
        <v>46028</v>
      </c>
      <c r="H481" s="3">
        <f>ledger!E481</f>
        <v>99</v>
      </c>
      <c r="I481" s="3" t="str">
        <f>ledger!F481</f>
        <v>Wallet</v>
      </c>
      <c r="J481" s="3" t="str">
        <f>ledger!G481</f>
        <v>captured</v>
      </c>
      <c r="K481" s="9">
        <f>HLOOKUP(I481,Fee!$B$1:$E$2,2,FALSE())</f>
        <v>1.4999999999999999E-2</v>
      </c>
      <c r="L481" s="12">
        <f t="shared" si="14"/>
        <v>1.4849999999999999</v>
      </c>
      <c r="M481" s="3">
        <f>SUMIFS(ledger!$E$2:$E$548, ledger!$C$2:$C$548, B481, ledger!$I$2:$I$548, G481)</f>
        <v>898</v>
      </c>
      <c r="N481" s="3" t="str">
        <f t="shared" si="15"/>
        <v>Standard</v>
      </c>
    </row>
    <row r="482" spans="1:14" x14ac:dyDescent="0.3">
      <c r="A482" s="3" t="str">
        <f>ledger!A482</f>
        <v>TXN100480</v>
      </c>
      <c r="B482" s="3">
        <f>ledger!C482</f>
        <v>9</v>
      </c>
      <c r="C482" s="4" t="str">
        <f>IFERROR(VLOOKUP(B482, merchants!$A$2:$D$41, 2, FALSE), "Merchant not found")</f>
        <v>Merchant_009</v>
      </c>
      <c r="D482" s="3" t="str">
        <f>IFERROR(VLOOKUP(B482, merchants!$A$2:$D$41, 3, FALSE), "Merchant not found")</f>
        <v>ecommerce</v>
      </c>
      <c r="E482" s="3" t="str">
        <f>IFERROR(VLOOKUP(B482, merchants!$A$2:$D$41, 4, FALSE), "Merchant not found")</f>
        <v>North</v>
      </c>
      <c r="F482" s="4">
        <f>ledger!D482</f>
        <v>46051.722916666666</v>
      </c>
      <c r="G482" s="5">
        <f>ledger!I482</f>
        <v>46051</v>
      </c>
      <c r="H482" s="3">
        <f>ledger!E482</f>
        <v>49</v>
      </c>
      <c r="I482" s="3" t="str">
        <f>ledger!F482</f>
        <v>Wallet</v>
      </c>
      <c r="J482" s="3" t="str">
        <f>ledger!G482</f>
        <v>failed</v>
      </c>
      <c r="K482" s="9">
        <f>HLOOKUP(I482,Fee!$B$1:$E$2,2,FALSE())</f>
        <v>1.4999999999999999E-2</v>
      </c>
      <c r="L482" s="12">
        <f t="shared" si="14"/>
        <v>0.73499999999999999</v>
      </c>
      <c r="M482" s="3">
        <f>SUMIFS(ledger!$E$2:$E$548, ledger!$C$2:$C$548, B482, ledger!$I$2:$I$548, G482)</f>
        <v>49</v>
      </c>
      <c r="N482" s="3" t="str">
        <f t="shared" si="15"/>
        <v>Standard</v>
      </c>
    </row>
    <row r="483" spans="1:14" x14ac:dyDescent="0.3">
      <c r="A483" s="3" t="str">
        <f>ledger!A483</f>
        <v>TXN100481</v>
      </c>
      <c r="B483" s="3">
        <f>ledger!C483</f>
        <v>4</v>
      </c>
      <c r="C483" s="4" t="str">
        <f>IFERROR(VLOOKUP(B483, merchants!$A$2:$D$41, 2, FALSE), "Merchant not found")</f>
        <v>Merchant_004</v>
      </c>
      <c r="D483" s="3" t="str">
        <f>IFERROR(VLOOKUP(B483, merchants!$A$2:$D$41, 3, FALSE), "Merchant not found")</f>
        <v>ecommerce</v>
      </c>
      <c r="E483" s="3" t="str">
        <f>IFERROR(VLOOKUP(B483, merchants!$A$2:$D$41, 4, FALSE), "Merchant not found")</f>
        <v>East</v>
      </c>
      <c r="F483" s="4">
        <f>ledger!D483</f>
        <v>46046.105555555558</v>
      </c>
      <c r="G483" s="5">
        <f>ledger!I483</f>
        <v>46046</v>
      </c>
      <c r="H483" s="3">
        <f>ledger!E483</f>
        <v>1499</v>
      </c>
      <c r="I483" s="3" t="str">
        <f>ledger!F483</f>
        <v>UPI</v>
      </c>
      <c r="J483" s="3" t="str">
        <f>ledger!G483</f>
        <v>captured</v>
      </c>
      <c r="K483" s="9">
        <f>HLOOKUP(I483,Fee!$B$1:$E$2,2,FALSE())</f>
        <v>5.0000000000000001E-3</v>
      </c>
      <c r="L483" s="12">
        <f t="shared" si="14"/>
        <v>7.4950000000000001</v>
      </c>
      <c r="M483" s="3">
        <f>SUMIFS(ledger!$E$2:$E$548, ledger!$C$2:$C$548, B483, ledger!$I$2:$I$548, G483)</f>
        <v>1499</v>
      </c>
      <c r="N483" s="3" t="str">
        <f t="shared" si="15"/>
        <v>Standard</v>
      </c>
    </row>
    <row r="484" spans="1:14" x14ac:dyDescent="0.3">
      <c r="A484" s="3" t="str">
        <f>ledger!A484</f>
        <v>TXN100482</v>
      </c>
      <c r="B484" s="3">
        <f>ledger!C484</f>
        <v>22</v>
      </c>
      <c r="C484" s="4" t="str">
        <f>IFERROR(VLOOKUP(B484, merchants!$A$2:$D$41, 2, FALSE), "Merchant not found")</f>
        <v>Merchant_022</v>
      </c>
      <c r="D484" s="3" t="str">
        <f>IFERROR(VLOOKUP(B484, merchants!$A$2:$D$41, 3, FALSE), "Merchant not found")</f>
        <v>travel</v>
      </c>
      <c r="E484" s="3" t="str">
        <f>IFERROR(VLOOKUP(B484, merchants!$A$2:$D$41, 4, FALSE), "Merchant not found")</f>
        <v>South</v>
      </c>
      <c r="F484" s="4">
        <f>ledger!D484</f>
        <v>46036.328472222223</v>
      </c>
      <c r="G484" s="5">
        <f>ledger!I484</f>
        <v>46036</v>
      </c>
      <c r="H484" s="3">
        <f>ledger!E484</f>
        <v>799</v>
      </c>
      <c r="I484" s="3" t="str">
        <f>ledger!F484</f>
        <v>Netbanking</v>
      </c>
      <c r="J484" s="3" t="str">
        <f>ledger!G484</f>
        <v>captured</v>
      </c>
      <c r="K484" s="9">
        <f>HLOOKUP(I484,Fee!$B$1:$E$2,2,FALSE())</f>
        <v>1.7999999999999999E-2</v>
      </c>
      <c r="L484" s="12">
        <f t="shared" si="14"/>
        <v>14.382</v>
      </c>
      <c r="M484" s="3">
        <f>SUMIFS(ledger!$E$2:$E$548, ledger!$C$2:$C$548, B484, ledger!$I$2:$I$548, G484)</f>
        <v>799</v>
      </c>
      <c r="N484" s="3" t="str">
        <f t="shared" si="15"/>
        <v>Standard</v>
      </c>
    </row>
    <row r="485" spans="1:14" x14ac:dyDescent="0.3">
      <c r="A485" s="3" t="str">
        <f>ledger!A485</f>
        <v>TXN100483</v>
      </c>
      <c r="B485" s="3">
        <f>ledger!C485</f>
        <v>21</v>
      </c>
      <c r="C485" s="4" t="str">
        <f>IFERROR(VLOOKUP(B485, merchants!$A$2:$D$41, 2, FALSE), "Merchant not found")</f>
        <v>Merchant_021</v>
      </c>
      <c r="D485" s="3" t="str">
        <f>IFERROR(VLOOKUP(B485, merchants!$A$2:$D$41, 3, FALSE), "Merchant not found")</f>
        <v>food_delivery</v>
      </c>
      <c r="E485" s="3" t="str">
        <f>IFERROR(VLOOKUP(B485, merchants!$A$2:$D$41, 4, FALSE), "Merchant not found")</f>
        <v>East</v>
      </c>
      <c r="F485" s="4">
        <f>ledger!D485</f>
        <v>46047.818055555559</v>
      </c>
      <c r="G485" s="5">
        <f>ledger!I485</f>
        <v>46047</v>
      </c>
      <c r="H485" s="3">
        <f>ledger!E485</f>
        <v>299</v>
      </c>
      <c r="I485" s="3" t="str">
        <f>ledger!F485</f>
        <v>Wallet</v>
      </c>
      <c r="J485" s="3" t="str">
        <f>ledger!G485</f>
        <v>captured</v>
      </c>
      <c r="K485" s="9">
        <f>HLOOKUP(I485,Fee!$B$1:$E$2,2,FALSE())</f>
        <v>1.4999999999999999E-2</v>
      </c>
      <c r="L485" s="12">
        <f t="shared" si="14"/>
        <v>4.4849999999999994</v>
      </c>
      <c r="M485" s="3">
        <f>SUMIFS(ledger!$E$2:$E$548, ledger!$C$2:$C$548, B485, ledger!$I$2:$I$548, G485)</f>
        <v>299</v>
      </c>
      <c r="N485" s="3" t="str">
        <f t="shared" si="15"/>
        <v>Standard</v>
      </c>
    </row>
    <row r="486" spans="1:14" x14ac:dyDescent="0.3">
      <c r="A486" s="3" t="str">
        <f>ledger!A486</f>
        <v>TXN100484</v>
      </c>
      <c r="B486" s="3">
        <f>ledger!C486</f>
        <v>32</v>
      </c>
      <c r="C486" s="4" t="str">
        <f>IFERROR(VLOOKUP(B486, merchants!$A$2:$D$41, 2, FALSE), "Merchant not found")</f>
        <v>Merchant_032</v>
      </c>
      <c r="D486" s="3" t="str">
        <f>IFERROR(VLOOKUP(B486, merchants!$A$2:$D$41, 3, FALSE), "Merchant not found")</f>
        <v>food_delivery</v>
      </c>
      <c r="E486" s="3" t="str">
        <f>IFERROR(VLOOKUP(B486, merchants!$A$2:$D$41, 4, FALSE), "Merchant not found")</f>
        <v>West</v>
      </c>
      <c r="F486" s="4">
        <f>ledger!D486</f>
        <v>46043.368055555555</v>
      </c>
      <c r="G486" s="5">
        <f>ledger!I486</f>
        <v>46043</v>
      </c>
      <c r="H486" s="3">
        <f>ledger!E486</f>
        <v>299</v>
      </c>
      <c r="I486" s="3" t="str">
        <f>ledger!F486</f>
        <v>UPI</v>
      </c>
      <c r="J486" s="3" t="str">
        <f>ledger!G486</f>
        <v>captured</v>
      </c>
      <c r="K486" s="9">
        <f>HLOOKUP(I486,Fee!$B$1:$E$2,2,FALSE())</f>
        <v>5.0000000000000001E-3</v>
      </c>
      <c r="L486" s="12">
        <f t="shared" si="14"/>
        <v>1.4950000000000001</v>
      </c>
      <c r="M486" s="3">
        <f>SUMIFS(ledger!$E$2:$E$548, ledger!$C$2:$C$548, B486, ledger!$I$2:$I$548, G486)</f>
        <v>348</v>
      </c>
      <c r="N486" s="3" t="str">
        <f t="shared" si="15"/>
        <v>Standard</v>
      </c>
    </row>
    <row r="487" spans="1:14" x14ac:dyDescent="0.3">
      <c r="A487" s="3" t="str">
        <f>ledger!A487</f>
        <v>TXN100485</v>
      </c>
      <c r="B487" s="3">
        <f>ledger!C487</f>
        <v>12</v>
      </c>
      <c r="C487" s="4" t="str">
        <f>IFERROR(VLOOKUP(B487, merchants!$A$2:$D$41, 2, FALSE), "Merchant not found")</f>
        <v>Merchant_012</v>
      </c>
      <c r="D487" s="3" t="str">
        <f>IFERROR(VLOOKUP(B487, merchants!$A$2:$D$41, 3, FALSE), "Merchant not found")</f>
        <v>ecommerce</v>
      </c>
      <c r="E487" s="3" t="str">
        <f>IFERROR(VLOOKUP(B487, merchants!$A$2:$D$41, 4, FALSE), "Merchant not found")</f>
        <v>East</v>
      </c>
      <c r="F487" s="4">
        <f>ledger!D487</f>
        <v>46034.724999999999</v>
      </c>
      <c r="G487" s="5">
        <f>ledger!I487</f>
        <v>46034</v>
      </c>
      <c r="H487" s="3">
        <f>ledger!E487</f>
        <v>499</v>
      </c>
      <c r="I487" s="3" t="str">
        <f>ledger!F487</f>
        <v>Wallet</v>
      </c>
      <c r="J487" s="3" t="str">
        <f>ledger!G487</f>
        <v>failed</v>
      </c>
      <c r="K487" s="9">
        <f>HLOOKUP(I487,Fee!$B$1:$E$2,2,FALSE())</f>
        <v>1.4999999999999999E-2</v>
      </c>
      <c r="L487" s="12">
        <f t="shared" si="14"/>
        <v>7.4849999999999994</v>
      </c>
      <c r="M487" s="3">
        <f>SUMIFS(ledger!$E$2:$E$548, ledger!$C$2:$C$548, B487, ledger!$I$2:$I$548, G487)</f>
        <v>1998</v>
      </c>
      <c r="N487" s="3" t="str">
        <f t="shared" si="15"/>
        <v>Standard</v>
      </c>
    </row>
    <row r="488" spans="1:14" x14ac:dyDescent="0.3">
      <c r="A488" s="3" t="str">
        <f>ledger!A488</f>
        <v>TXN100486</v>
      </c>
      <c r="B488" s="3">
        <f>ledger!C488</f>
        <v>40</v>
      </c>
      <c r="C488" s="4" t="str">
        <f>IFERROR(VLOOKUP(B488, merchants!$A$2:$D$41, 2, FALSE), "Merchant not found")</f>
        <v>Merchant_040</v>
      </c>
      <c r="D488" s="3" t="str">
        <f>IFERROR(VLOOKUP(B488, merchants!$A$2:$D$41, 3, FALSE), "Merchant not found")</f>
        <v>entertainment</v>
      </c>
      <c r="E488" s="3" t="str">
        <f>IFERROR(VLOOKUP(B488, merchants!$A$2:$D$41, 4, FALSE), "Merchant not found")</f>
        <v>South</v>
      </c>
      <c r="F488" s="4">
        <f>ledger!D488</f>
        <v>46041.89166666667</v>
      </c>
      <c r="G488" s="5">
        <f>ledger!I488</f>
        <v>46041</v>
      </c>
      <c r="H488" s="3">
        <f>ledger!E488</f>
        <v>499</v>
      </c>
      <c r="I488" s="3" t="str">
        <f>ledger!F488</f>
        <v>UPI</v>
      </c>
      <c r="J488" s="3" t="str">
        <f>ledger!G488</f>
        <v>captured</v>
      </c>
      <c r="K488" s="9">
        <f>HLOOKUP(I488,Fee!$B$1:$E$2,2,FALSE())</f>
        <v>5.0000000000000001E-3</v>
      </c>
      <c r="L488" s="12">
        <f t="shared" si="14"/>
        <v>2.4950000000000001</v>
      </c>
      <c r="M488" s="3">
        <f>SUMIFS(ledger!$E$2:$E$548, ledger!$C$2:$C$548, B488, ledger!$I$2:$I$548, G488)</f>
        <v>648</v>
      </c>
      <c r="N488" s="3" t="str">
        <f t="shared" si="15"/>
        <v>Standard</v>
      </c>
    </row>
    <row r="489" spans="1:14" x14ac:dyDescent="0.3">
      <c r="A489" s="3" t="str">
        <f>ledger!A489</f>
        <v>TXN100487</v>
      </c>
      <c r="B489" s="3">
        <f>ledger!C489</f>
        <v>6</v>
      </c>
      <c r="C489" s="4" t="str">
        <f>IFERROR(VLOOKUP(B489, merchants!$A$2:$D$41, 2, FALSE), "Merchant not found")</f>
        <v>Merchant_006</v>
      </c>
      <c r="D489" s="3" t="str">
        <f>IFERROR(VLOOKUP(B489, merchants!$A$2:$D$41, 3, FALSE), "Merchant not found")</f>
        <v>food_delivery</v>
      </c>
      <c r="E489" s="3" t="str">
        <f>IFERROR(VLOOKUP(B489, merchants!$A$2:$D$41, 4, FALSE), "Merchant not found")</f>
        <v>South</v>
      </c>
      <c r="F489" s="4">
        <f>ledger!D489</f>
        <v>46048.322916666664</v>
      </c>
      <c r="G489" s="5">
        <f>ledger!I489</f>
        <v>46048</v>
      </c>
      <c r="H489" s="3">
        <f>ledger!E489</f>
        <v>49</v>
      </c>
      <c r="I489" s="3" t="str">
        <f>ledger!F489</f>
        <v>Wallet</v>
      </c>
      <c r="J489" s="3" t="str">
        <f>ledger!G489</f>
        <v>captured</v>
      </c>
      <c r="K489" s="9">
        <f>HLOOKUP(I489,Fee!$B$1:$E$2,2,FALSE())</f>
        <v>1.4999999999999999E-2</v>
      </c>
      <c r="L489" s="12">
        <f t="shared" si="14"/>
        <v>0.73499999999999999</v>
      </c>
      <c r="M489" s="3">
        <f>SUMIFS(ledger!$E$2:$E$548, ledger!$C$2:$C$548, B489, ledger!$I$2:$I$548, G489)</f>
        <v>897</v>
      </c>
      <c r="N489" s="3" t="str">
        <f t="shared" si="15"/>
        <v>Standard</v>
      </c>
    </row>
    <row r="490" spans="1:14" x14ac:dyDescent="0.3">
      <c r="A490" s="3" t="str">
        <f>ledger!A490</f>
        <v>TXN100488</v>
      </c>
      <c r="B490" s="3">
        <f>ledger!C490</f>
        <v>10</v>
      </c>
      <c r="C490" s="4" t="str">
        <f>IFERROR(VLOOKUP(B490, merchants!$A$2:$D$41, 2, FALSE), "Merchant not found")</f>
        <v>Merchant_010</v>
      </c>
      <c r="D490" s="3" t="str">
        <f>IFERROR(VLOOKUP(B490, merchants!$A$2:$D$41, 3, FALSE), "Merchant not found")</f>
        <v>grocery</v>
      </c>
      <c r="E490" s="3" t="str">
        <f>IFERROR(VLOOKUP(B490, merchants!$A$2:$D$41, 4, FALSE), "Merchant not found")</f>
        <v>West</v>
      </c>
      <c r="F490" s="4">
        <f>ledger!D490</f>
        <v>46027.53125</v>
      </c>
      <c r="G490" s="5">
        <f>ledger!I490</f>
        <v>46027</v>
      </c>
      <c r="H490" s="3">
        <f>ledger!E490</f>
        <v>49</v>
      </c>
      <c r="I490" s="3" t="str">
        <f>ledger!F490</f>
        <v>Netbanking</v>
      </c>
      <c r="J490" s="3" t="str">
        <f>ledger!G490</f>
        <v>chargeback</v>
      </c>
      <c r="K490" s="9">
        <f>HLOOKUP(I490,Fee!$B$1:$E$2,2,FALSE())</f>
        <v>1.7999999999999999E-2</v>
      </c>
      <c r="L490" s="12">
        <f t="shared" si="14"/>
        <v>0.8819999999999999</v>
      </c>
      <c r="M490" s="3">
        <f>SUMIFS(ledger!$E$2:$E$548, ledger!$C$2:$C$548, B490, ledger!$I$2:$I$548, G490)</f>
        <v>49</v>
      </c>
      <c r="N490" s="3" t="str">
        <f t="shared" si="15"/>
        <v>Standard</v>
      </c>
    </row>
    <row r="491" spans="1:14" x14ac:dyDescent="0.3">
      <c r="A491" s="3" t="str">
        <f>ledger!A491</f>
        <v>TXN100489</v>
      </c>
      <c r="B491" s="3">
        <f>ledger!C491</f>
        <v>6</v>
      </c>
      <c r="C491" s="4" t="str">
        <f>IFERROR(VLOOKUP(B491, merchants!$A$2:$D$41, 2, FALSE), "Merchant not found")</f>
        <v>Merchant_006</v>
      </c>
      <c r="D491" s="3" t="str">
        <f>IFERROR(VLOOKUP(B491, merchants!$A$2:$D$41, 3, FALSE), "Merchant not found")</f>
        <v>food_delivery</v>
      </c>
      <c r="E491" s="3" t="str">
        <f>IFERROR(VLOOKUP(B491, merchants!$A$2:$D$41, 4, FALSE), "Merchant not found")</f>
        <v>South</v>
      </c>
      <c r="F491" s="4">
        <f>ledger!D491</f>
        <v>46035.432638888888</v>
      </c>
      <c r="G491" s="5">
        <f>ledger!I491</f>
        <v>46035</v>
      </c>
      <c r="H491" s="3">
        <f>ledger!E491</f>
        <v>1499</v>
      </c>
      <c r="I491" s="3" t="str">
        <f>ledger!F491</f>
        <v>Card</v>
      </c>
      <c r="J491" s="3" t="str">
        <f>ledger!G491</f>
        <v>captured</v>
      </c>
      <c r="K491" s="9">
        <f>HLOOKUP(I491,Fee!$B$1:$E$2,2,FALSE())</f>
        <v>0.02</v>
      </c>
      <c r="L491" s="12">
        <f t="shared" si="14"/>
        <v>29.98</v>
      </c>
      <c r="M491" s="3">
        <f>SUMIFS(ledger!$E$2:$E$548, ledger!$C$2:$C$548, B491, ledger!$I$2:$I$548, G491)</f>
        <v>1499</v>
      </c>
      <c r="N491" s="3" t="str">
        <f t="shared" si="15"/>
        <v>Standard</v>
      </c>
    </row>
    <row r="492" spans="1:14" x14ac:dyDescent="0.3">
      <c r="A492" s="3" t="str">
        <f>ledger!A492</f>
        <v>TXN100490</v>
      </c>
      <c r="B492" s="3">
        <f>ledger!C492</f>
        <v>7</v>
      </c>
      <c r="C492" s="4" t="str">
        <f>IFERROR(VLOOKUP(B492, merchants!$A$2:$D$41, 2, FALSE), "Merchant not found")</f>
        <v>Merchant_007</v>
      </c>
      <c r="D492" s="3" t="str">
        <f>IFERROR(VLOOKUP(B492, merchants!$A$2:$D$41, 3, FALSE), "Merchant not found")</f>
        <v>food_delivery</v>
      </c>
      <c r="E492" s="3" t="str">
        <f>IFERROR(VLOOKUP(B492, merchants!$A$2:$D$41, 4, FALSE), "Merchant not found")</f>
        <v>East</v>
      </c>
      <c r="F492" s="4">
        <f>ledger!D492</f>
        <v>46032.599305555559</v>
      </c>
      <c r="G492" s="5">
        <f>ledger!I492</f>
        <v>46032</v>
      </c>
      <c r="H492" s="3">
        <f>ledger!E492</f>
        <v>499</v>
      </c>
      <c r="I492" s="3" t="str">
        <f>ledger!F492</f>
        <v>Card</v>
      </c>
      <c r="J492" s="3" t="str">
        <f>ledger!G492</f>
        <v>captured</v>
      </c>
      <c r="K492" s="9">
        <f>HLOOKUP(I492,Fee!$B$1:$E$2,2,FALSE())</f>
        <v>0.02</v>
      </c>
      <c r="L492" s="12">
        <f t="shared" si="14"/>
        <v>9.98</v>
      </c>
      <c r="M492" s="3">
        <f>SUMIFS(ledger!$E$2:$E$548, ledger!$C$2:$C$548, B492, ledger!$I$2:$I$548, G492)</f>
        <v>499</v>
      </c>
      <c r="N492" s="3" t="str">
        <f t="shared" si="15"/>
        <v>Standard</v>
      </c>
    </row>
    <row r="493" spans="1:14" x14ac:dyDescent="0.3">
      <c r="A493" s="3" t="str">
        <f>ledger!A493</f>
        <v>TXN100491</v>
      </c>
      <c r="B493" s="3">
        <f>ledger!C493</f>
        <v>36</v>
      </c>
      <c r="C493" s="4" t="str">
        <f>IFERROR(VLOOKUP(B493, merchants!$A$2:$D$41, 2, FALSE), "Merchant not found")</f>
        <v>Merchant_036</v>
      </c>
      <c r="D493" s="3" t="str">
        <f>IFERROR(VLOOKUP(B493, merchants!$A$2:$D$41, 3, FALSE), "Merchant not found")</f>
        <v>entertainment</v>
      </c>
      <c r="E493" s="3" t="str">
        <f>IFERROR(VLOOKUP(B493, merchants!$A$2:$D$41, 4, FALSE), "Merchant not found")</f>
        <v>East</v>
      </c>
      <c r="F493" s="4">
        <f>ledger!D493</f>
        <v>46025.227083333331</v>
      </c>
      <c r="G493" s="5">
        <f>ledger!I493</f>
        <v>46025</v>
      </c>
      <c r="H493" s="3">
        <f>ledger!E493</f>
        <v>99</v>
      </c>
      <c r="I493" s="3" t="str">
        <f>ledger!F493</f>
        <v>Wallet</v>
      </c>
      <c r="J493" s="3" t="str">
        <f>ledger!G493</f>
        <v>captured</v>
      </c>
      <c r="K493" s="9">
        <f>HLOOKUP(I493,Fee!$B$1:$E$2,2,FALSE())</f>
        <v>1.4999999999999999E-2</v>
      </c>
      <c r="L493" s="12">
        <f t="shared" si="14"/>
        <v>1.4849999999999999</v>
      </c>
      <c r="M493" s="3">
        <f>SUMIFS(ledger!$E$2:$E$548, ledger!$C$2:$C$548, B493, ledger!$I$2:$I$548, G493)</f>
        <v>248</v>
      </c>
      <c r="N493" s="3" t="str">
        <f t="shared" si="15"/>
        <v>Standard</v>
      </c>
    </row>
    <row r="494" spans="1:14" x14ac:dyDescent="0.3">
      <c r="A494" s="3" t="str">
        <f>ledger!A494</f>
        <v>TXN100492</v>
      </c>
      <c r="B494" s="3">
        <f>ledger!C494</f>
        <v>6</v>
      </c>
      <c r="C494" s="4" t="str">
        <f>IFERROR(VLOOKUP(B494, merchants!$A$2:$D$41, 2, FALSE), "Merchant not found")</f>
        <v>Merchant_006</v>
      </c>
      <c r="D494" s="3" t="str">
        <f>IFERROR(VLOOKUP(B494, merchants!$A$2:$D$41, 3, FALSE), "Merchant not found")</f>
        <v>food_delivery</v>
      </c>
      <c r="E494" s="3" t="str">
        <f>IFERROR(VLOOKUP(B494, merchants!$A$2:$D$41, 4, FALSE), "Merchant not found")</f>
        <v>South</v>
      </c>
      <c r="F494" s="4">
        <f>ledger!D494</f>
        <v>46039.54583333333</v>
      </c>
      <c r="G494" s="5">
        <f>ledger!I494</f>
        <v>46039</v>
      </c>
      <c r="H494" s="3">
        <f>ledger!E494</f>
        <v>799</v>
      </c>
      <c r="I494" s="3" t="str">
        <f>ledger!F494</f>
        <v>Card</v>
      </c>
      <c r="J494" s="3" t="str">
        <f>ledger!G494</f>
        <v>captured</v>
      </c>
      <c r="K494" s="9">
        <f>HLOOKUP(I494,Fee!$B$1:$E$2,2,FALSE())</f>
        <v>0.02</v>
      </c>
      <c r="L494" s="12">
        <f t="shared" si="14"/>
        <v>15.98</v>
      </c>
      <c r="M494" s="3">
        <f>SUMIFS(ledger!$E$2:$E$548, ledger!$C$2:$C$548, B494, ledger!$I$2:$I$548, G494)</f>
        <v>799</v>
      </c>
      <c r="N494" s="3" t="str">
        <f t="shared" si="15"/>
        <v>Standard</v>
      </c>
    </row>
    <row r="495" spans="1:14" x14ac:dyDescent="0.3">
      <c r="A495" s="3" t="str">
        <f>ledger!A495</f>
        <v>TXN100493</v>
      </c>
      <c r="B495" s="3">
        <f>ledger!C495</f>
        <v>21</v>
      </c>
      <c r="C495" s="4" t="str">
        <f>IFERROR(VLOOKUP(B495, merchants!$A$2:$D$41, 2, FALSE), "Merchant not found")</f>
        <v>Merchant_021</v>
      </c>
      <c r="D495" s="3" t="str">
        <f>IFERROR(VLOOKUP(B495, merchants!$A$2:$D$41, 3, FALSE), "Merchant not found")</f>
        <v>food_delivery</v>
      </c>
      <c r="E495" s="3" t="str">
        <f>IFERROR(VLOOKUP(B495, merchants!$A$2:$D$41, 4, FALSE), "Merchant not found")</f>
        <v>East</v>
      </c>
      <c r="F495" s="4">
        <f>ledger!D495</f>
        <v>46040.109722222223</v>
      </c>
      <c r="G495" s="5">
        <f>ledger!I495</f>
        <v>46040</v>
      </c>
      <c r="H495" s="3">
        <f>ledger!E495</f>
        <v>799</v>
      </c>
      <c r="I495" s="3" t="str">
        <f>ledger!F495</f>
        <v>UPI</v>
      </c>
      <c r="J495" s="3" t="str">
        <f>ledger!G495</f>
        <v>captured</v>
      </c>
      <c r="K495" s="9">
        <f>HLOOKUP(I495,Fee!$B$1:$E$2,2,FALSE())</f>
        <v>5.0000000000000001E-3</v>
      </c>
      <c r="L495" s="12">
        <f t="shared" si="14"/>
        <v>3.9950000000000001</v>
      </c>
      <c r="M495" s="3">
        <f>SUMIFS(ledger!$E$2:$E$548, ledger!$C$2:$C$548, B495, ledger!$I$2:$I$548, G495)</f>
        <v>799</v>
      </c>
      <c r="N495" s="3" t="str">
        <f t="shared" si="15"/>
        <v>Standard</v>
      </c>
    </row>
    <row r="496" spans="1:14" x14ac:dyDescent="0.3">
      <c r="A496" s="3" t="str">
        <f>ledger!A496</f>
        <v>TXN100494</v>
      </c>
      <c r="B496" s="3">
        <f>ledger!C496</f>
        <v>6</v>
      </c>
      <c r="C496" s="4" t="str">
        <f>IFERROR(VLOOKUP(B496, merchants!$A$2:$D$41, 2, FALSE), "Merchant not found")</f>
        <v>Merchant_006</v>
      </c>
      <c r="D496" s="3" t="str">
        <f>IFERROR(VLOOKUP(B496, merchants!$A$2:$D$41, 3, FALSE), "Merchant not found")</f>
        <v>food_delivery</v>
      </c>
      <c r="E496" s="3" t="str">
        <f>IFERROR(VLOOKUP(B496, merchants!$A$2:$D$41, 4, FALSE), "Merchant not found")</f>
        <v>South</v>
      </c>
      <c r="F496" s="4">
        <f>ledger!D496</f>
        <v>46023.393055555556</v>
      </c>
      <c r="G496" s="5">
        <f>ledger!I496</f>
        <v>46023</v>
      </c>
      <c r="H496" s="3">
        <f>ledger!E496</f>
        <v>49</v>
      </c>
      <c r="I496" s="3" t="str">
        <f>ledger!F496</f>
        <v>UPI</v>
      </c>
      <c r="J496" s="3" t="str">
        <f>ledger!G496</f>
        <v>captured</v>
      </c>
      <c r="K496" s="9">
        <f>HLOOKUP(I496,Fee!$B$1:$E$2,2,FALSE())</f>
        <v>5.0000000000000001E-3</v>
      </c>
      <c r="L496" s="12">
        <f t="shared" si="14"/>
        <v>0.245</v>
      </c>
      <c r="M496" s="3">
        <f>SUMIFS(ledger!$E$2:$E$548, ledger!$C$2:$C$548, B496, ledger!$I$2:$I$548, G496)</f>
        <v>49</v>
      </c>
      <c r="N496" s="3" t="str">
        <f t="shared" si="15"/>
        <v>Standard</v>
      </c>
    </row>
    <row r="497" spans="1:14" x14ac:dyDescent="0.3">
      <c r="A497" s="3" t="str">
        <f>ledger!A497</f>
        <v>TXN100495</v>
      </c>
      <c r="B497" s="3">
        <f>ledger!C497</f>
        <v>37</v>
      </c>
      <c r="C497" s="4" t="str">
        <f>IFERROR(VLOOKUP(B497, merchants!$A$2:$D$41, 2, FALSE), "Merchant not found")</f>
        <v>Merchant_037</v>
      </c>
      <c r="D497" s="3" t="str">
        <f>IFERROR(VLOOKUP(B497, merchants!$A$2:$D$41, 3, FALSE), "Merchant not found")</f>
        <v>entertainment</v>
      </c>
      <c r="E497" s="3" t="str">
        <f>IFERROR(VLOOKUP(B497, merchants!$A$2:$D$41, 4, FALSE), "Merchant not found")</f>
        <v>South</v>
      </c>
      <c r="F497" s="4">
        <f>ledger!D497</f>
        <v>46051.747916666667</v>
      </c>
      <c r="G497" s="5">
        <f>ledger!I497</f>
        <v>46051</v>
      </c>
      <c r="H497" s="3">
        <f>ledger!E497</f>
        <v>149</v>
      </c>
      <c r="I497" s="3" t="str">
        <f>ledger!F497</f>
        <v>Wallet</v>
      </c>
      <c r="J497" s="3" t="str">
        <f>ledger!G497</f>
        <v>captured</v>
      </c>
      <c r="K497" s="9">
        <f>HLOOKUP(I497,Fee!$B$1:$E$2,2,FALSE())</f>
        <v>1.4999999999999999E-2</v>
      </c>
      <c r="L497" s="12">
        <f t="shared" si="14"/>
        <v>2.2349999999999999</v>
      </c>
      <c r="M497" s="3">
        <f>SUMIFS(ledger!$E$2:$E$548, ledger!$C$2:$C$548, B497, ledger!$I$2:$I$548, G497)</f>
        <v>149</v>
      </c>
      <c r="N497" s="3" t="str">
        <f t="shared" si="15"/>
        <v>Standard</v>
      </c>
    </row>
    <row r="498" spans="1:14" x14ac:dyDescent="0.3">
      <c r="A498" s="3" t="str">
        <f>ledger!A498</f>
        <v>TXN100496</v>
      </c>
      <c r="B498" s="3">
        <f>ledger!C498</f>
        <v>9</v>
      </c>
      <c r="C498" s="4" t="str">
        <f>IFERROR(VLOOKUP(B498, merchants!$A$2:$D$41, 2, FALSE), "Merchant not found")</f>
        <v>Merchant_009</v>
      </c>
      <c r="D498" s="3" t="str">
        <f>IFERROR(VLOOKUP(B498, merchants!$A$2:$D$41, 3, FALSE), "Merchant not found")</f>
        <v>ecommerce</v>
      </c>
      <c r="E498" s="3" t="str">
        <f>IFERROR(VLOOKUP(B498, merchants!$A$2:$D$41, 4, FALSE), "Merchant not found")</f>
        <v>North</v>
      </c>
      <c r="F498" s="4">
        <f>ledger!D498</f>
        <v>46028.89166666667</v>
      </c>
      <c r="G498" s="5">
        <f>ledger!I498</f>
        <v>46028</v>
      </c>
      <c r="H498" s="3">
        <f>ledger!E498</f>
        <v>149</v>
      </c>
      <c r="I498" s="3" t="str">
        <f>ledger!F498</f>
        <v>UPI</v>
      </c>
      <c r="J498" s="3" t="str">
        <f>ledger!G498</f>
        <v>captured</v>
      </c>
      <c r="K498" s="9">
        <f>HLOOKUP(I498,Fee!$B$1:$E$2,2,FALSE())</f>
        <v>5.0000000000000001E-3</v>
      </c>
      <c r="L498" s="12">
        <f t="shared" si="14"/>
        <v>0.745</v>
      </c>
      <c r="M498" s="3">
        <f>SUMIFS(ledger!$E$2:$E$548, ledger!$C$2:$C$548, B498, ledger!$I$2:$I$548, G498)</f>
        <v>149</v>
      </c>
      <c r="N498" s="3" t="str">
        <f t="shared" si="15"/>
        <v>Standard</v>
      </c>
    </row>
    <row r="499" spans="1:14" x14ac:dyDescent="0.3">
      <c r="A499" s="3" t="str">
        <f>ledger!A499</f>
        <v>TXN100497</v>
      </c>
      <c r="B499" s="3">
        <f>ledger!C499</f>
        <v>5</v>
      </c>
      <c r="C499" s="4" t="str">
        <f>IFERROR(VLOOKUP(B499, merchants!$A$2:$D$41, 2, FALSE), "Merchant not found")</f>
        <v>Merchant_005</v>
      </c>
      <c r="D499" s="3" t="str">
        <f>IFERROR(VLOOKUP(B499, merchants!$A$2:$D$41, 3, FALSE), "Merchant not found")</f>
        <v>recharge</v>
      </c>
      <c r="E499" s="3" t="str">
        <f>IFERROR(VLOOKUP(B499, merchants!$A$2:$D$41, 4, FALSE), "Merchant not found")</f>
        <v>South</v>
      </c>
      <c r="F499" s="4">
        <f>ledger!D499</f>
        <v>46032.354861111111</v>
      </c>
      <c r="G499" s="5">
        <f>ledger!I499</f>
        <v>46032</v>
      </c>
      <c r="H499" s="3">
        <f>ledger!E499</f>
        <v>99</v>
      </c>
      <c r="I499" s="3" t="str">
        <f>ledger!F499</f>
        <v>UPI</v>
      </c>
      <c r="J499" s="3" t="str">
        <f>ledger!G499</f>
        <v>captured</v>
      </c>
      <c r="K499" s="9">
        <f>HLOOKUP(I499,Fee!$B$1:$E$2,2,FALSE())</f>
        <v>5.0000000000000001E-3</v>
      </c>
      <c r="L499" s="12">
        <f t="shared" si="14"/>
        <v>0.495</v>
      </c>
      <c r="M499" s="3">
        <f>SUMIFS(ledger!$E$2:$E$548, ledger!$C$2:$C$548, B499, ledger!$I$2:$I$548, G499)</f>
        <v>99</v>
      </c>
      <c r="N499" s="3" t="str">
        <f t="shared" si="15"/>
        <v>Standard</v>
      </c>
    </row>
    <row r="500" spans="1:14" x14ac:dyDescent="0.3">
      <c r="A500" s="3" t="str">
        <f>ledger!A500</f>
        <v>TXN100498</v>
      </c>
      <c r="B500" s="3">
        <f>ledger!C500</f>
        <v>31</v>
      </c>
      <c r="C500" s="4" t="str">
        <f>IFERROR(VLOOKUP(B500, merchants!$A$2:$D$41, 2, FALSE), "Merchant not found")</f>
        <v>Merchant_031</v>
      </c>
      <c r="D500" s="3" t="str">
        <f>IFERROR(VLOOKUP(B500, merchants!$A$2:$D$41, 3, FALSE), "Merchant not found")</f>
        <v>bill_payment</v>
      </c>
      <c r="E500" s="3" t="str">
        <f>IFERROR(VLOOKUP(B500, merchants!$A$2:$D$41, 4, FALSE), "Merchant not found")</f>
        <v>East</v>
      </c>
      <c r="F500" s="4">
        <f>ledger!D500</f>
        <v>46036.351388888892</v>
      </c>
      <c r="G500" s="5">
        <f>ledger!I500</f>
        <v>46036</v>
      </c>
      <c r="H500" s="3">
        <f>ledger!E500</f>
        <v>499</v>
      </c>
      <c r="I500" s="3" t="str">
        <f>ledger!F500</f>
        <v>Wallet</v>
      </c>
      <c r="J500" s="3" t="str">
        <f>ledger!G500</f>
        <v>captured</v>
      </c>
      <c r="K500" s="9">
        <f>HLOOKUP(I500,Fee!$B$1:$E$2,2,FALSE())</f>
        <v>1.4999999999999999E-2</v>
      </c>
      <c r="L500" s="12">
        <f t="shared" si="14"/>
        <v>7.4849999999999994</v>
      </c>
      <c r="M500" s="3">
        <f>SUMIFS(ledger!$E$2:$E$548, ledger!$C$2:$C$548, B500, ledger!$I$2:$I$548, G500)</f>
        <v>499</v>
      </c>
      <c r="N500" s="3" t="str">
        <f t="shared" si="15"/>
        <v>Standard</v>
      </c>
    </row>
    <row r="501" spans="1:14" x14ac:dyDescent="0.3">
      <c r="A501" s="3" t="str">
        <f>ledger!A501</f>
        <v>TXN100499</v>
      </c>
      <c r="B501" s="3">
        <f>ledger!C501</f>
        <v>32</v>
      </c>
      <c r="C501" s="4" t="str">
        <f>IFERROR(VLOOKUP(B501, merchants!$A$2:$D$41, 2, FALSE), "Merchant not found")</f>
        <v>Merchant_032</v>
      </c>
      <c r="D501" s="3" t="str">
        <f>IFERROR(VLOOKUP(B501, merchants!$A$2:$D$41, 3, FALSE), "Merchant not found")</f>
        <v>food_delivery</v>
      </c>
      <c r="E501" s="3" t="str">
        <f>IFERROR(VLOOKUP(B501, merchants!$A$2:$D$41, 4, FALSE), "Merchant not found")</f>
        <v>West</v>
      </c>
      <c r="F501" s="4">
        <f>ledger!D501</f>
        <v>46025.469444444447</v>
      </c>
      <c r="G501" s="5">
        <f>ledger!I501</f>
        <v>46025</v>
      </c>
      <c r="H501" s="3">
        <f>ledger!E501</f>
        <v>149</v>
      </c>
      <c r="I501" s="3" t="str">
        <f>ledger!F501</f>
        <v>Card</v>
      </c>
      <c r="J501" s="3" t="str">
        <f>ledger!G501</f>
        <v>captured</v>
      </c>
      <c r="K501" s="9">
        <f>HLOOKUP(I501,Fee!$B$1:$E$2,2,FALSE())</f>
        <v>0.02</v>
      </c>
      <c r="L501" s="12">
        <f t="shared" si="14"/>
        <v>2.98</v>
      </c>
      <c r="M501" s="3">
        <f>SUMIFS(ledger!$E$2:$E$548, ledger!$C$2:$C$548, B501, ledger!$I$2:$I$548, G501)</f>
        <v>149</v>
      </c>
      <c r="N501" s="3" t="str">
        <f t="shared" si="15"/>
        <v>Standard</v>
      </c>
    </row>
    <row r="502" spans="1:14" x14ac:dyDescent="0.3">
      <c r="A502" s="3" t="str">
        <f>ledger!A502</f>
        <v>TXN200000</v>
      </c>
      <c r="B502" s="3">
        <f>ledger!C502</f>
        <v>7</v>
      </c>
      <c r="C502" s="4" t="str">
        <f>IFERROR(VLOOKUP(B502, merchants!$A$2:$D$41, 2, FALSE), "Merchant not found")</f>
        <v>Merchant_007</v>
      </c>
      <c r="D502" s="3" t="str">
        <f>IFERROR(VLOOKUP(B502, merchants!$A$2:$D$41, 3, FALSE), "Merchant not found")</f>
        <v>food_delivery</v>
      </c>
      <c r="E502" s="3" t="str">
        <f>IFERROR(VLOOKUP(B502, merchants!$A$2:$D$41, 4, FALSE), "Merchant not found")</f>
        <v>East</v>
      </c>
      <c r="F502" s="4">
        <f>ledger!D502</f>
        <v>46052.25</v>
      </c>
      <c r="G502" s="5">
        <f>ledger!I502</f>
        <v>46052</v>
      </c>
      <c r="H502" s="3">
        <f>ledger!E502</f>
        <v>1999</v>
      </c>
      <c r="I502" s="3" t="str">
        <f>ledger!F502</f>
        <v>Card</v>
      </c>
      <c r="J502" s="3" t="str">
        <f>ledger!G502</f>
        <v>chargeback</v>
      </c>
      <c r="K502" s="9">
        <f>HLOOKUP(I502,Fee!$B$1:$E$2,2,FALSE())</f>
        <v>0.02</v>
      </c>
      <c r="L502" s="12">
        <f t="shared" si="14"/>
        <v>39.980000000000004</v>
      </c>
      <c r="M502" s="3">
        <f>SUMIFS(ledger!$E$2:$E$548, ledger!$C$2:$C$548, B502, ledger!$I$2:$I$548, G502)</f>
        <v>1999</v>
      </c>
      <c r="N502" s="3" t="str">
        <f t="shared" si="15"/>
        <v>Standard</v>
      </c>
    </row>
    <row r="503" spans="1:14" x14ac:dyDescent="0.3">
      <c r="A503" s="3" t="str">
        <f>ledger!A503</f>
        <v>TXN200001</v>
      </c>
      <c r="B503" s="3">
        <f>ledger!C503</f>
        <v>40</v>
      </c>
      <c r="C503" s="4" t="str">
        <f>IFERROR(VLOOKUP(B503, merchants!$A$2:$D$41, 2, FALSE), "Merchant not found")</f>
        <v>Merchant_040</v>
      </c>
      <c r="D503" s="3" t="str">
        <f>IFERROR(VLOOKUP(B503, merchants!$A$2:$D$41, 3, FALSE), "Merchant not found")</f>
        <v>entertainment</v>
      </c>
      <c r="E503" s="3" t="str">
        <f>IFERROR(VLOOKUP(B503, merchants!$A$2:$D$41, 4, FALSE), "Merchant not found")</f>
        <v>South</v>
      </c>
      <c r="F503" s="4">
        <f>ledger!D503</f>
        <v>46033.5</v>
      </c>
      <c r="G503" s="5">
        <f>ledger!I503</f>
        <v>46033</v>
      </c>
      <c r="H503" s="3">
        <f>ledger!E503</f>
        <v>4999</v>
      </c>
      <c r="I503" s="3" t="str">
        <f>ledger!F503</f>
        <v>Card</v>
      </c>
      <c r="J503" s="3" t="str">
        <f>ledger!G503</f>
        <v>chargeback</v>
      </c>
      <c r="K503" s="9">
        <f>HLOOKUP(I503,Fee!$B$1:$E$2,2,FALSE())</f>
        <v>0.02</v>
      </c>
      <c r="L503" s="12">
        <f t="shared" si="14"/>
        <v>99.98</v>
      </c>
      <c r="M503" s="3">
        <f>SUMIFS(ledger!$E$2:$E$548, ledger!$C$2:$C$548, B503, ledger!$I$2:$I$548, G503)</f>
        <v>4999</v>
      </c>
      <c r="N503" s="3" t="str">
        <f t="shared" si="15"/>
        <v>Standard</v>
      </c>
    </row>
    <row r="504" spans="1:14" x14ac:dyDescent="0.3">
      <c r="A504" s="3" t="str">
        <f>ledger!A504</f>
        <v>TXN200002</v>
      </c>
      <c r="B504" s="3">
        <f>ledger!C504</f>
        <v>28</v>
      </c>
      <c r="C504" s="4" t="str">
        <f>IFERROR(VLOOKUP(B504, merchants!$A$2:$D$41, 2, FALSE), "Merchant not found")</f>
        <v>Merchant_028</v>
      </c>
      <c r="D504" s="3" t="str">
        <f>IFERROR(VLOOKUP(B504, merchants!$A$2:$D$41, 3, FALSE), "Merchant not found")</f>
        <v>ecommerce</v>
      </c>
      <c r="E504" s="3" t="str">
        <f>IFERROR(VLOOKUP(B504, merchants!$A$2:$D$41, 4, FALSE), "Merchant not found")</f>
        <v>South</v>
      </c>
      <c r="F504" s="4">
        <f>ledger!D504</f>
        <v>46043.583333333336</v>
      </c>
      <c r="G504" s="5">
        <f>ledger!I504</f>
        <v>46043</v>
      </c>
      <c r="H504" s="3">
        <f>ledger!E504</f>
        <v>1999</v>
      </c>
      <c r="I504" s="3" t="str">
        <f>ledger!F504</f>
        <v>Card</v>
      </c>
      <c r="J504" s="3" t="str">
        <f>ledger!G504</f>
        <v>chargeback</v>
      </c>
      <c r="K504" s="9">
        <f>HLOOKUP(I504,Fee!$B$1:$E$2,2,FALSE())</f>
        <v>0.02</v>
      </c>
      <c r="L504" s="12">
        <f t="shared" si="14"/>
        <v>39.980000000000004</v>
      </c>
      <c r="M504" s="3">
        <f>SUMIFS(ledger!$E$2:$E$548, ledger!$C$2:$C$548, B504, ledger!$I$2:$I$548, G504)</f>
        <v>1999</v>
      </c>
      <c r="N504" s="3" t="str">
        <f t="shared" si="15"/>
        <v>Standard</v>
      </c>
    </row>
    <row r="505" spans="1:14" x14ac:dyDescent="0.3">
      <c r="A505" s="3" t="str">
        <f>ledger!A505</f>
        <v>TXN200003</v>
      </c>
      <c r="B505" s="3">
        <f>ledger!C505</f>
        <v>13</v>
      </c>
      <c r="C505" s="4" t="str">
        <f>IFERROR(VLOOKUP(B505, merchants!$A$2:$D$41, 2, FALSE), "Merchant not found")</f>
        <v>Merchant_013</v>
      </c>
      <c r="D505" s="3" t="str">
        <f>IFERROR(VLOOKUP(B505, merchants!$A$2:$D$41, 3, FALSE), "Merchant not found")</f>
        <v>travel</v>
      </c>
      <c r="E505" s="3" t="str">
        <f>IFERROR(VLOOKUP(B505, merchants!$A$2:$D$41, 4, FALSE), "Merchant not found")</f>
        <v>East</v>
      </c>
      <c r="F505" s="4">
        <f>ledger!D505</f>
        <v>46043.791666666664</v>
      </c>
      <c r="G505" s="5">
        <f>ledger!I505</f>
        <v>46043</v>
      </c>
      <c r="H505" s="3">
        <f>ledger!E505</f>
        <v>4999</v>
      </c>
      <c r="I505" s="3" t="str">
        <f>ledger!F505</f>
        <v>Card</v>
      </c>
      <c r="J505" s="3" t="str">
        <f>ledger!G505</f>
        <v>chargeback</v>
      </c>
      <c r="K505" s="9">
        <f>HLOOKUP(I505,Fee!$B$1:$E$2,2,FALSE())</f>
        <v>0.02</v>
      </c>
      <c r="L505" s="12">
        <f t="shared" si="14"/>
        <v>99.98</v>
      </c>
      <c r="M505" s="3">
        <f>SUMIFS(ledger!$E$2:$E$548, ledger!$C$2:$C$548, B505, ledger!$I$2:$I$548, G505)</f>
        <v>4999</v>
      </c>
      <c r="N505" s="3" t="str">
        <f t="shared" si="15"/>
        <v>Standard</v>
      </c>
    </row>
    <row r="506" spans="1:14" x14ac:dyDescent="0.3">
      <c r="A506" s="3" t="str">
        <f>ledger!A506</f>
        <v>TXN200004</v>
      </c>
      <c r="B506" s="3">
        <f>ledger!C506</f>
        <v>19</v>
      </c>
      <c r="C506" s="4" t="str">
        <f>IFERROR(VLOOKUP(B506, merchants!$A$2:$D$41, 2, FALSE), "Merchant not found")</f>
        <v>Merchant_019</v>
      </c>
      <c r="D506" s="3" t="str">
        <f>IFERROR(VLOOKUP(B506, merchants!$A$2:$D$41, 3, FALSE), "Merchant not found")</f>
        <v>grocery</v>
      </c>
      <c r="E506" s="3" t="str">
        <f>IFERROR(VLOOKUP(B506, merchants!$A$2:$D$41, 4, FALSE), "Merchant not found")</f>
        <v>North</v>
      </c>
      <c r="F506" s="4">
        <f>ledger!D506</f>
        <v>46038.5</v>
      </c>
      <c r="G506" s="5">
        <f>ledger!I506</f>
        <v>46038</v>
      </c>
      <c r="H506" s="3">
        <f>ledger!E506</f>
        <v>4999</v>
      </c>
      <c r="I506" s="3" t="str">
        <f>ledger!F506</f>
        <v>Card</v>
      </c>
      <c r="J506" s="3" t="str">
        <f>ledger!G506</f>
        <v>chargeback</v>
      </c>
      <c r="K506" s="9">
        <f>HLOOKUP(I506,Fee!$B$1:$E$2,2,FALSE())</f>
        <v>0.02</v>
      </c>
      <c r="L506" s="12">
        <f t="shared" si="14"/>
        <v>99.98</v>
      </c>
      <c r="M506" s="3">
        <f>SUMIFS(ledger!$E$2:$E$548, ledger!$C$2:$C$548, B506, ledger!$I$2:$I$548, G506)</f>
        <v>4999</v>
      </c>
      <c r="N506" s="3" t="str">
        <f t="shared" si="15"/>
        <v>Standard</v>
      </c>
    </row>
    <row r="507" spans="1:14" x14ac:dyDescent="0.3">
      <c r="A507" s="3" t="str">
        <f>ledger!A507</f>
        <v>TXN200005</v>
      </c>
      <c r="B507" s="3">
        <f>ledger!C507</f>
        <v>25</v>
      </c>
      <c r="C507" s="4" t="str">
        <f>IFERROR(VLOOKUP(B507, merchants!$A$2:$D$41, 2, FALSE), "Merchant not found")</f>
        <v>Merchant_025</v>
      </c>
      <c r="D507" s="3" t="str">
        <f>IFERROR(VLOOKUP(B507, merchants!$A$2:$D$41, 3, FALSE), "Merchant not found")</f>
        <v>travel</v>
      </c>
      <c r="E507" s="3" t="str">
        <f>IFERROR(VLOOKUP(B507, merchants!$A$2:$D$41, 4, FALSE), "Merchant not found")</f>
        <v>South</v>
      </c>
      <c r="F507" s="4">
        <f>ledger!D507</f>
        <v>46051.291666666664</v>
      </c>
      <c r="G507" s="5">
        <f>ledger!I507</f>
        <v>46051</v>
      </c>
      <c r="H507" s="3">
        <f>ledger!E507</f>
        <v>2999</v>
      </c>
      <c r="I507" s="3" t="str">
        <f>ledger!F507</f>
        <v>Card</v>
      </c>
      <c r="J507" s="3" t="str">
        <f>ledger!G507</f>
        <v>chargeback</v>
      </c>
      <c r="K507" s="9">
        <f>HLOOKUP(I507,Fee!$B$1:$E$2,2,FALSE())</f>
        <v>0.02</v>
      </c>
      <c r="L507" s="12">
        <f t="shared" si="14"/>
        <v>59.980000000000004</v>
      </c>
      <c r="M507" s="3">
        <f>SUMIFS(ledger!$E$2:$E$548, ledger!$C$2:$C$548, B507, ledger!$I$2:$I$548, G507)</f>
        <v>3048</v>
      </c>
      <c r="N507" s="3" t="str">
        <f t="shared" si="15"/>
        <v>Standard</v>
      </c>
    </row>
    <row r="508" spans="1:14" x14ac:dyDescent="0.3">
      <c r="A508" s="3" t="str">
        <f>ledger!A508</f>
        <v>TXN200006</v>
      </c>
      <c r="B508" s="3">
        <f>ledger!C508</f>
        <v>37</v>
      </c>
      <c r="C508" s="4" t="str">
        <f>IFERROR(VLOOKUP(B508, merchants!$A$2:$D$41, 2, FALSE), "Merchant not found")</f>
        <v>Merchant_037</v>
      </c>
      <c r="D508" s="3" t="str">
        <f>IFERROR(VLOOKUP(B508, merchants!$A$2:$D$41, 3, FALSE), "Merchant not found")</f>
        <v>entertainment</v>
      </c>
      <c r="E508" s="3" t="str">
        <f>IFERROR(VLOOKUP(B508, merchants!$A$2:$D$41, 4, FALSE), "Merchant not found")</f>
        <v>South</v>
      </c>
      <c r="F508" s="4">
        <f>ledger!D508</f>
        <v>46045.458333333336</v>
      </c>
      <c r="G508" s="5">
        <f>ledger!I508</f>
        <v>46045</v>
      </c>
      <c r="H508" s="3">
        <f>ledger!E508</f>
        <v>1999</v>
      </c>
      <c r="I508" s="3" t="str">
        <f>ledger!F508</f>
        <v>Card</v>
      </c>
      <c r="J508" s="3" t="str">
        <f>ledger!G508</f>
        <v>chargeback</v>
      </c>
      <c r="K508" s="9">
        <f>HLOOKUP(I508,Fee!$B$1:$E$2,2,FALSE())</f>
        <v>0.02</v>
      </c>
      <c r="L508" s="12">
        <f t="shared" si="14"/>
        <v>39.980000000000004</v>
      </c>
      <c r="M508" s="3">
        <f>SUMIFS(ledger!$E$2:$E$548, ledger!$C$2:$C$548, B508, ledger!$I$2:$I$548, G508)</f>
        <v>1999</v>
      </c>
      <c r="N508" s="3" t="str">
        <f t="shared" si="15"/>
        <v>Standard</v>
      </c>
    </row>
    <row r="509" spans="1:14" x14ac:dyDescent="0.3">
      <c r="A509" s="3" t="str">
        <f>ledger!A509</f>
        <v>TXN200007</v>
      </c>
      <c r="B509" s="3">
        <f>ledger!C509</f>
        <v>36</v>
      </c>
      <c r="C509" s="4" t="str">
        <f>IFERROR(VLOOKUP(B509, merchants!$A$2:$D$41, 2, FALSE), "Merchant not found")</f>
        <v>Merchant_036</v>
      </c>
      <c r="D509" s="3" t="str">
        <f>IFERROR(VLOOKUP(B509, merchants!$A$2:$D$41, 3, FALSE), "Merchant not found")</f>
        <v>entertainment</v>
      </c>
      <c r="E509" s="3" t="str">
        <f>IFERROR(VLOOKUP(B509, merchants!$A$2:$D$41, 4, FALSE), "Merchant not found")</f>
        <v>East</v>
      </c>
      <c r="F509" s="4">
        <f>ledger!D509</f>
        <v>46050.208333333336</v>
      </c>
      <c r="G509" s="5">
        <f>ledger!I509</f>
        <v>46050</v>
      </c>
      <c r="H509" s="3">
        <f>ledger!E509</f>
        <v>999</v>
      </c>
      <c r="I509" s="3" t="str">
        <f>ledger!F509</f>
        <v>Card</v>
      </c>
      <c r="J509" s="3" t="str">
        <f>ledger!G509</f>
        <v>chargeback</v>
      </c>
      <c r="K509" s="9">
        <f>HLOOKUP(I509,Fee!$B$1:$E$2,2,FALSE())</f>
        <v>0.02</v>
      </c>
      <c r="L509" s="12">
        <f t="shared" si="14"/>
        <v>19.98</v>
      </c>
      <c r="M509" s="3">
        <f>SUMIFS(ledger!$E$2:$E$548, ledger!$C$2:$C$548, B509, ledger!$I$2:$I$548, G509)</f>
        <v>999</v>
      </c>
      <c r="N509" s="3" t="str">
        <f t="shared" si="15"/>
        <v>Standard</v>
      </c>
    </row>
    <row r="510" spans="1:14" x14ac:dyDescent="0.3">
      <c r="A510" s="3" t="str">
        <f>ledger!A510</f>
        <v>TXN200008</v>
      </c>
      <c r="B510" s="3">
        <f>ledger!C510</f>
        <v>29</v>
      </c>
      <c r="C510" s="4" t="str">
        <f>IFERROR(VLOOKUP(B510, merchants!$A$2:$D$41, 2, FALSE), "Merchant not found")</f>
        <v>Merchant_029</v>
      </c>
      <c r="D510" s="3" t="str">
        <f>IFERROR(VLOOKUP(B510, merchants!$A$2:$D$41, 3, FALSE), "Merchant not found")</f>
        <v>ecommerce</v>
      </c>
      <c r="E510" s="3" t="str">
        <f>IFERROR(VLOOKUP(B510, merchants!$A$2:$D$41, 4, FALSE), "Merchant not found")</f>
        <v>North</v>
      </c>
      <c r="F510" s="4">
        <f>ledger!D510</f>
        <v>46047.916666666664</v>
      </c>
      <c r="G510" s="5">
        <f>ledger!I510</f>
        <v>46047</v>
      </c>
      <c r="H510" s="3">
        <f>ledger!E510</f>
        <v>2999</v>
      </c>
      <c r="I510" s="3" t="str">
        <f>ledger!F510</f>
        <v>Card</v>
      </c>
      <c r="J510" s="3" t="str">
        <f>ledger!G510</f>
        <v>chargeback</v>
      </c>
      <c r="K510" s="9">
        <f>HLOOKUP(I510,Fee!$B$1:$E$2,2,FALSE())</f>
        <v>0.02</v>
      </c>
      <c r="L510" s="12">
        <f t="shared" si="14"/>
        <v>59.980000000000004</v>
      </c>
      <c r="M510" s="3">
        <f>SUMIFS(ledger!$E$2:$E$548, ledger!$C$2:$C$548, B510, ledger!$I$2:$I$548, G510)</f>
        <v>3896</v>
      </c>
      <c r="N510" s="3" t="str">
        <f t="shared" si="15"/>
        <v>Standard</v>
      </c>
    </row>
    <row r="511" spans="1:14" x14ac:dyDescent="0.3">
      <c r="A511" s="3" t="str">
        <f>ledger!A511</f>
        <v>TXN200009</v>
      </c>
      <c r="B511" s="3">
        <f>ledger!C511</f>
        <v>32</v>
      </c>
      <c r="C511" s="4" t="str">
        <f>IFERROR(VLOOKUP(B511, merchants!$A$2:$D$41, 2, FALSE), "Merchant not found")</f>
        <v>Merchant_032</v>
      </c>
      <c r="D511" s="3" t="str">
        <f>IFERROR(VLOOKUP(B511, merchants!$A$2:$D$41, 3, FALSE), "Merchant not found")</f>
        <v>food_delivery</v>
      </c>
      <c r="E511" s="3" t="str">
        <f>IFERROR(VLOOKUP(B511, merchants!$A$2:$D$41, 4, FALSE), "Merchant not found")</f>
        <v>West</v>
      </c>
      <c r="F511" s="4">
        <f>ledger!D511</f>
        <v>46035.541666666664</v>
      </c>
      <c r="G511" s="5">
        <f>ledger!I511</f>
        <v>46035</v>
      </c>
      <c r="H511" s="3">
        <f>ledger!E511</f>
        <v>1999</v>
      </c>
      <c r="I511" s="3" t="str">
        <f>ledger!F511</f>
        <v>Card</v>
      </c>
      <c r="J511" s="3" t="str">
        <f>ledger!G511</f>
        <v>chargeback</v>
      </c>
      <c r="K511" s="9">
        <f>HLOOKUP(I511,Fee!$B$1:$E$2,2,FALSE())</f>
        <v>0.02</v>
      </c>
      <c r="L511" s="12">
        <f t="shared" si="14"/>
        <v>39.980000000000004</v>
      </c>
      <c r="M511" s="3">
        <f>SUMIFS(ledger!$E$2:$E$548, ledger!$C$2:$C$548, B511, ledger!$I$2:$I$548, G511)</f>
        <v>1999</v>
      </c>
      <c r="N511" s="3" t="str">
        <f t="shared" si="15"/>
        <v>Standard</v>
      </c>
    </row>
    <row r="512" spans="1:14" x14ac:dyDescent="0.3">
      <c r="A512" s="3" t="str">
        <f>ledger!A512</f>
        <v>TXN200010</v>
      </c>
      <c r="B512" s="3">
        <f>ledger!C512</f>
        <v>10</v>
      </c>
      <c r="C512" s="4" t="str">
        <f>IFERROR(VLOOKUP(B512, merchants!$A$2:$D$41, 2, FALSE), "Merchant not found")</f>
        <v>Merchant_010</v>
      </c>
      <c r="D512" s="3" t="str">
        <f>IFERROR(VLOOKUP(B512, merchants!$A$2:$D$41, 3, FALSE), "Merchant not found")</f>
        <v>grocery</v>
      </c>
      <c r="E512" s="3" t="str">
        <f>IFERROR(VLOOKUP(B512, merchants!$A$2:$D$41, 4, FALSE), "Merchant not found")</f>
        <v>West</v>
      </c>
      <c r="F512" s="4">
        <f>ledger!D512</f>
        <v>46042.291666666664</v>
      </c>
      <c r="G512" s="5">
        <f>ledger!I512</f>
        <v>46042</v>
      </c>
      <c r="H512" s="3">
        <f>ledger!E512</f>
        <v>4999</v>
      </c>
      <c r="I512" s="3" t="str">
        <f>ledger!F512</f>
        <v>Card</v>
      </c>
      <c r="J512" s="3" t="str">
        <f>ledger!G512</f>
        <v>chargeback</v>
      </c>
      <c r="K512" s="9">
        <f>HLOOKUP(I512,Fee!$B$1:$E$2,2,FALSE())</f>
        <v>0.02</v>
      </c>
      <c r="L512" s="12">
        <f t="shared" si="14"/>
        <v>99.98</v>
      </c>
      <c r="M512" s="3">
        <f>SUMIFS(ledger!$E$2:$E$548, ledger!$C$2:$C$548, B512, ledger!$I$2:$I$548, G512)</f>
        <v>4999</v>
      </c>
      <c r="N512" s="3" t="str">
        <f t="shared" si="15"/>
        <v>Standard</v>
      </c>
    </row>
    <row r="513" spans="1:14" x14ac:dyDescent="0.3">
      <c r="A513" s="3" t="str">
        <f>ledger!A513</f>
        <v>TXN200011</v>
      </c>
      <c r="B513" s="3">
        <f>ledger!C513</f>
        <v>39</v>
      </c>
      <c r="C513" s="4" t="str">
        <f>IFERROR(VLOOKUP(B513, merchants!$A$2:$D$41, 2, FALSE), "Merchant not found")</f>
        <v>Merchant_039</v>
      </c>
      <c r="D513" s="3" t="str">
        <f>IFERROR(VLOOKUP(B513, merchants!$A$2:$D$41, 3, FALSE), "Merchant not found")</f>
        <v>entertainment</v>
      </c>
      <c r="E513" s="3" t="str">
        <f>IFERROR(VLOOKUP(B513, merchants!$A$2:$D$41, 4, FALSE), "Merchant not found")</f>
        <v>North</v>
      </c>
      <c r="F513" s="4">
        <f>ledger!D513</f>
        <v>46045.083333333336</v>
      </c>
      <c r="G513" s="5">
        <f>ledger!I513</f>
        <v>46045</v>
      </c>
      <c r="H513" s="3">
        <f>ledger!E513</f>
        <v>4999</v>
      </c>
      <c r="I513" s="3" t="str">
        <f>ledger!F513</f>
        <v>Card</v>
      </c>
      <c r="J513" s="3" t="str">
        <f>ledger!G513</f>
        <v>chargeback</v>
      </c>
      <c r="K513" s="9">
        <f>HLOOKUP(I513,Fee!$B$1:$E$2,2,FALSE())</f>
        <v>0.02</v>
      </c>
      <c r="L513" s="12">
        <f t="shared" si="14"/>
        <v>99.98</v>
      </c>
      <c r="M513" s="3">
        <f>SUMIFS(ledger!$E$2:$E$548, ledger!$C$2:$C$548, B513, ledger!$I$2:$I$548, G513)</f>
        <v>4999</v>
      </c>
      <c r="N513" s="3" t="str">
        <f t="shared" si="15"/>
        <v>Standard</v>
      </c>
    </row>
    <row r="514" spans="1:14" x14ac:dyDescent="0.3">
      <c r="A514" s="3" t="str">
        <f>ledger!A514</f>
        <v>TXN200012</v>
      </c>
      <c r="B514" s="3">
        <f>ledger!C514</f>
        <v>27</v>
      </c>
      <c r="C514" s="4" t="str">
        <f>IFERROR(VLOOKUP(B514, merchants!$A$2:$D$41, 2, FALSE), "Merchant not found")</f>
        <v>Merchant_027</v>
      </c>
      <c r="D514" s="3" t="str">
        <f>IFERROR(VLOOKUP(B514, merchants!$A$2:$D$41, 3, FALSE), "Merchant not found")</f>
        <v>ecommerce</v>
      </c>
      <c r="E514" s="3" t="str">
        <f>IFERROR(VLOOKUP(B514, merchants!$A$2:$D$41, 4, FALSE), "Merchant not found")</f>
        <v>North</v>
      </c>
      <c r="F514" s="4">
        <f>ledger!D514</f>
        <v>46045.708333333336</v>
      </c>
      <c r="G514" s="5">
        <f>ledger!I514</f>
        <v>46045</v>
      </c>
      <c r="H514" s="3">
        <f>ledger!E514</f>
        <v>999</v>
      </c>
      <c r="I514" s="3" t="str">
        <f>ledger!F514</f>
        <v>Card</v>
      </c>
      <c r="J514" s="3" t="str">
        <f>ledger!G514</f>
        <v>chargeback</v>
      </c>
      <c r="K514" s="9">
        <f>HLOOKUP(I514,Fee!$B$1:$E$2,2,FALSE())</f>
        <v>0.02</v>
      </c>
      <c r="L514" s="12">
        <f t="shared" si="14"/>
        <v>19.98</v>
      </c>
      <c r="M514" s="3">
        <f>SUMIFS(ledger!$E$2:$E$548, ledger!$C$2:$C$548, B514, ledger!$I$2:$I$548, G514)</f>
        <v>3998</v>
      </c>
      <c r="N514" s="3" t="str">
        <f t="shared" si="15"/>
        <v>Standard</v>
      </c>
    </row>
    <row r="515" spans="1:14" x14ac:dyDescent="0.3">
      <c r="A515" s="3" t="str">
        <f>ledger!A515</f>
        <v>TXN200013</v>
      </c>
      <c r="B515" s="3">
        <f>ledger!C515</f>
        <v>39</v>
      </c>
      <c r="C515" s="4" t="str">
        <f>IFERROR(VLOOKUP(B515, merchants!$A$2:$D$41, 2, FALSE), "Merchant not found")</f>
        <v>Merchant_039</v>
      </c>
      <c r="D515" s="3" t="str">
        <f>IFERROR(VLOOKUP(B515, merchants!$A$2:$D$41, 3, FALSE), "Merchant not found")</f>
        <v>entertainment</v>
      </c>
      <c r="E515" s="3" t="str">
        <f>IFERROR(VLOOKUP(B515, merchants!$A$2:$D$41, 4, FALSE), "Merchant not found")</f>
        <v>North</v>
      </c>
      <c r="F515" s="4">
        <f>ledger!D515</f>
        <v>46044.916666666664</v>
      </c>
      <c r="G515" s="5">
        <f>ledger!I515</f>
        <v>46044</v>
      </c>
      <c r="H515" s="3">
        <f>ledger!E515</f>
        <v>999</v>
      </c>
      <c r="I515" s="3" t="str">
        <f>ledger!F515</f>
        <v>Card</v>
      </c>
      <c r="J515" s="3" t="str">
        <f>ledger!G515</f>
        <v>chargeback</v>
      </c>
      <c r="K515" s="9">
        <f>HLOOKUP(I515,Fee!$B$1:$E$2,2,FALSE())</f>
        <v>0.02</v>
      </c>
      <c r="L515" s="12">
        <f t="shared" ref="L515:L548" si="16">H515*K515</f>
        <v>19.98</v>
      </c>
      <c r="M515" s="3">
        <f>SUMIFS(ledger!$E$2:$E$548, ledger!$C$2:$C$548, B515, ledger!$I$2:$I$548, G515)</f>
        <v>9796</v>
      </c>
      <c r="N515" s="3" t="str">
        <f t="shared" ref="N515:N548" si="17">IF(AND(M515&gt;5000,E515&lt;&gt;"East"),"High Value","Standard")</f>
        <v>High Value</v>
      </c>
    </row>
    <row r="516" spans="1:14" x14ac:dyDescent="0.3">
      <c r="A516" s="3" t="str">
        <f>ledger!A516</f>
        <v>TXN200014</v>
      </c>
      <c r="B516" s="3">
        <f>ledger!C516</f>
        <v>23</v>
      </c>
      <c r="C516" s="4" t="str">
        <f>IFERROR(VLOOKUP(B516, merchants!$A$2:$D$41, 2, FALSE), "Merchant not found")</f>
        <v>Merchant_023</v>
      </c>
      <c r="D516" s="3" t="str">
        <f>IFERROR(VLOOKUP(B516, merchants!$A$2:$D$41, 3, FALSE), "Merchant not found")</f>
        <v>travel</v>
      </c>
      <c r="E516" s="3" t="str">
        <f>IFERROR(VLOOKUP(B516, merchants!$A$2:$D$41, 4, FALSE), "Merchant not found")</f>
        <v>North</v>
      </c>
      <c r="F516" s="4">
        <f>ledger!D516</f>
        <v>46040.875</v>
      </c>
      <c r="G516" s="5">
        <f>ledger!I516</f>
        <v>46040</v>
      </c>
      <c r="H516" s="3">
        <f>ledger!E516</f>
        <v>1999</v>
      </c>
      <c r="I516" s="3" t="str">
        <f>ledger!F516</f>
        <v>Card</v>
      </c>
      <c r="J516" s="3" t="str">
        <f>ledger!G516</f>
        <v>chargeback</v>
      </c>
      <c r="K516" s="9">
        <f>HLOOKUP(I516,Fee!$B$1:$E$2,2,FALSE())</f>
        <v>0.02</v>
      </c>
      <c r="L516" s="12">
        <f t="shared" si="16"/>
        <v>39.980000000000004</v>
      </c>
      <c r="M516" s="3">
        <f>SUMIFS(ledger!$E$2:$E$548, ledger!$C$2:$C$548, B516, ledger!$I$2:$I$548, G516)</f>
        <v>1999</v>
      </c>
      <c r="N516" s="3" t="str">
        <f t="shared" si="17"/>
        <v>Standard</v>
      </c>
    </row>
    <row r="517" spans="1:14" x14ac:dyDescent="0.3">
      <c r="A517" s="3" t="str">
        <f>ledger!A517</f>
        <v>TXN300000</v>
      </c>
      <c r="B517" s="3">
        <f>ledger!C517</f>
        <v>26</v>
      </c>
      <c r="C517" s="4" t="str">
        <f>IFERROR(VLOOKUP(B517, merchants!$A$2:$D$41, 2, FALSE), "Merchant not found")</f>
        <v>Merchant_026</v>
      </c>
      <c r="D517" s="3" t="str">
        <f>IFERROR(VLOOKUP(B517, merchants!$A$2:$D$41, 3, FALSE), "Merchant not found")</f>
        <v>food_delivery</v>
      </c>
      <c r="E517" s="3" t="str">
        <f>IFERROR(VLOOKUP(B517, merchants!$A$2:$D$41, 4, FALSE), "Merchant not found")</f>
        <v>East</v>
      </c>
      <c r="F517" s="4">
        <f>ledger!D517</f>
        <v>46024.75</v>
      </c>
      <c r="G517" s="5">
        <f>ledger!I517</f>
        <v>46024</v>
      </c>
      <c r="H517" s="3">
        <f>ledger!E517</f>
        <v>399</v>
      </c>
      <c r="I517" s="3" t="str">
        <f>ledger!F517</f>
        <v>Card</v>
      </c>
      <c r="J517" s="3" t="str">
        <f>ledger!G517</f>
        <v>failed</v>
      </c>
      <c r="K517" s="9">
        <f>HLOOKUP(I517,Fee!$B$1:$E$2,2,FALSE())</f>
        <v>0.02</v>
      </c>
      <c r="L517" s="12">
        <f t="shared" si="16"/>
        <v>7.98</v>
      </c>
      <c r="M517" s="3">
        <f>SUMIFS(ledger!$E$2:$E$548, ledger!$C$2:$C$548, B517, ledger!$I$2:$I$548, G517)</f>
        <v>399</v>
      </c>
      <c r="N517" s="3" t="str">
        <f t="shared" si="17"/>
        <v>Standard</v>
      </c>
    </row>
    <row r="518" spans="1:14" x14ac:dyDescent="0.3">
      <c r="A518" s="3" t="str">
        <f>ledger!A518</f>
        <v>TXN300001</v>
      </c>
      <c r="B518" s="3">
        <f>ledger!C518</f>
        <v>7</v>
      </c>
      <c r="C518" s="4" t="str">
        <f>IFERROR(VLOOKUP(B518, merchants!$A$2:$D$41, 2, FALSE), "Merchant not found")</f>
        <v>Merchant_007</v>
      </c>
      <c r="D518" s="3" t="str">
        <f>IFERROR(VLOOKUP(B518, merchants!$A$2:$D$41, 3, FALSE), "Merchant not found")</f>
        <v>food_delivery</v>
      </c>
      <c r="E518" s="3" t="str">
        <f>IFERROR(VLOOKUP(B518, merchants!$A$2:$D$41, 4, FALSE), "Merchant not found")</f>
        <v>East</v>
      </c>
      <c r="F518" s="4">
        <f>ledger!D518</f>
        <v>46024.750694444447</v>
      </c>
      <c r="G518" s="5">
        <f>ledger!I518</f>
        <v>46024</v>
      </c>
      <c r="H518" s="3">
        <f>ledger!E518</f>
        <v>299</v>
      </c>
      <c r="I518" s="3" t="str">
        <f>ledger!F518</f>
        <v>Card</v>
      </c>
      <c r="J518" s="3" t="str">
        <f>ledger!G518</f>
        <v>failed</v>
      </c>
      <c r="K518" s="9">
        <f>HLOOKUP(I518,Fee!$B$1:$E$2,2,FALSE())</f>
        <v>0.02</v>
      </c>
      <c r="L518" s="12">
        <f t="shared" si="16"/>
        <v>5.98</v>
      </c>
      <c r="M518" s="3">
        <f>SUMIFS(ledger!$E$2:$E$548, ledger!$C$2:$C$548, B518, ledger!$I$2:$I$548, G518)</f>
        <v>3797</v>
      </c>
      <c r="N518" s="3" t="str">
        <f t="shared" si="17"/>
        <v>Standard</v>
      </c>
    </row>
    <row r="519" spans="1:14" x14ac:dyDescent="0.3">
      <c r="A519" s="3" t="str">
        <f>ledger!A519</f>
        <v>TXN300002</v>
      </c>
      <c r="B519" s="3">
        <f>ledger!C519</f>
        <v>17</v>
      </c>
      <c r="C519" s="4" t="str">
        <f>IFERROR(VLOOKUP(B519, merchants!$A$2:$D$41, 2, FALSE), "Merchant not found")</f>
        <v>Merchant_017</v>
      </c>
      <c r="D519" s="3" t="str">
        <f>IFERROR(VLOOKUP(B519, merchants!$A$2:$D$41, 3, FALSE), "Merchant not found")</f>
        <v>grocery</v>
      </c>
      <c r="E519" s="3" t="str">
        <f>IFERROR(VLOOKUP(B519, merchants!$A$2:$D$41, 4, FALSE), "Merchant not found")</f>
        <v>North</v>
      </c>
      <c r="F519" s="4">
        <f>ledger!D519</f>
        <v>46024.751388888886</v>
      </c>
      <c r="G519" s="5">
        <f>ledger!I519</f>
        <v>46024</v>
      </c>
      <c r="H519" s="3">
        <f>ledger!E519</f>
        <v>299</v>
      </c>
      <c r="I519" s="3" t="str">
        <f>ledger!F519</f>
        <v>Card</v>
      </c>
      <c r="J519" s="3" t="str">
        <f>ledger!G519</f>
        <v>failed</v>
      </c>
      <c r="K519" s="9">
        <f>HLOOKUP(I519,Fee!$B$1:$E$2,2,FALSE())</f>
        <v>0.02</v>
      </c>
      <c r="L519" s="12">
        <f t="shared" si="16"/>
        <v>5.98</v>
      </c>
      <c r="M519" s="3">
        <f>SUMIFS(ledger!$E$2:$E$548, ledger!$C$2:$C$548, B519, ledger!$I$2:$I$548, G519)</f>
        <v>299</v>
      </c>
      <c r="N519" s="3" t="str">
        <f t="shared" si="17"/>
        <v>Standard</v>
      </c>
    </row>
    <row r="520" spans="1:14" x14ac:dyDescent="0.3">
      <c r="A520" s="3" t="str">
        <f>ledger!A520</f>
        <v>TXN300003</v>
      </c>
      <c r="B520" s="3">
        <f>ledger!C520</f>
        <v>34</v>
      </c>
      <c r="C520" s="4" t="str">
        <f>IFERROR(VLOOKUP(B520, merchants!$A$2:$D$41, 2, FALSE), "Merchant not found")</f>
        <v>Merchant_034</v>
      </c>
      <c r="D520" s="3" t="str">
        <f>IFERROR(VLOOKUP(B520, merchants!$A$2:$D$41, 3, FALSE), "Merchant not found")</f>
        <v>travel</v>
      </c>
      <c r="E520" s="3" t="str">
        <f>IFERROR(VLOOKUP(B520, merchants!$A$2:$D$41, 4, FALSE), "Merchant not found")</f>
        <v>South</v>
      </c>
      <c r="F520" s="4">
        <f>ledger!D520</f>
        <v>46024.752083333333</v>
      </c>
      <c r="G520" s="5">
        <f>ledger!I520</f>
        <v>46024</v>
      </c>
      <c r="H520" s="3">
        <f>ledger!E520</f>
        <v>499</v>
      </c>
      <c r="I520" s="3" t="str">
        <f>ledger!F520</f>
        <v>Card</v>
      </c>
      <c r="J520" s="3" t="str">
        <f>ledger!G520</f>
        <v>captured</v>
      </c>
      <c r="K520" s="9">
        <f>HLOOKUP(I520,Fee!$B$1:$E$2,2,FALSE())</f>
        <v>0.02</v>
      </c>
      <c r="L520" s="12">
        <f t="shared" si="16"/>
        <v>9.98</v>
      </c>
      <c r="M520" s="3">
        <f>SUMIFS(ledger!$E$2:$E$548, ledger!$C$2:$C$548, B520, ledger!$I$2:$I$548, G520)</f>
        <v>548</v>
      </c>
      <c r="N520" s="3" t="str">
        <f t="shared" si="17"/>
        <v>Standard</v>
      </c>
    </row>
    <row r="521" spans="1:14" x14ac:dyDescent="0.3">
      <c r="A521" s="3" t="str">
        <f>ledger!A521</f>
        <v>TXN300004</v>
      </c>
      <c r="B521" s="3">
        <f>ledger!C521</f>
        <v>30</v>
      </c>
      <c r="C521" s="4" t="str">
        <f>IFERROR(VLOOKUP(B521, merchants!$A$2:$D$41, 2, FALSE), "Merchant not found")</f>
        <v>Merchant_030</v>
      </c>
      <c r="D521" s="3" t="str">
        <f>IFERROR(VLOOKUP(B521, merchants!$A$2:$D$41, 3, FALSE), "Merchant not found")</f>
        <v>travel</v>
      </c>
      <c r="E521" s="3" t="str">
        <f>IFERROR(VLOOKUP(B521, merchants!$A$2:$D$41, 4, FALSE), "Merchant not found")</f>
        <v>West</v>
      </c>
      <c r="F521" s="4">
        <f>ledger!D521</f>
        <v>46034.5</v>
      </c>
      <c r="G521" s="5">
        <f>ledger!I521</f>
        <v>46034</v>
      </c>
      <c r="H521" s="3">
        <f>ledger!E521</f>
        <v>499</v>
      </c>
      <c r="I521" s="3" t="str">
        <f>ledger!F521</f>
        <v>Card</v>
      </c>
      <c r="J521" s="3" t="str">
        <f>ledger!G521</f>
        <v>failed</v>
      </c>
      <c r="K521" s="9">
        <f>HLOOKUP(I521,Fee!$B$1:$E$2,2,FALSE())</f>
        <v>0.02</v>
      </c>
      <c r="L521" s="12">
        <f t="shared" si="16"/>
        <v>9.98</v>
      </c>
      <c r="M521" s="3">
        <f>SUMIFS(ledger!$E$2:$E$548, ledger!$C$2:$C$548, B521, ledger!$I$2:$I$548, G521)</f>
        <v>499</v>
      </c>
      <c r="N521" s="3" t="str">
        <f t="shared" si="17"/>
        <v>Standard</v>
      </c>
    </row>
    <row r="522" spans="1:14" x14ac:dyDescent="0.3">
      <c r="A522" s="3" t="str">
        <f>ledger!A522</f>
        <v>TXN300005</v>
      </c>
      <c r="B522" s="3">
        <f>ledger!C522</f>
        <v>10</v>
      </c>
      <c r="C522" s="4" t="str">
        <f>IFERROR(VLOOKUP(B522, merchants!$A$2:$D$41, 2, FALSE), "Merchant not found")</f>
        <v>Merchant_010</v>
      </c>
      <c r="D522" s="3" t="str">
        <f>IFERROR(VLOOKUP(B522, merchants!$A$2:$D$41, 3, FALSE), "Merchant not found")</f>
        <v>grocery</v>
      </c>
      <c r="E522" s="3" t="str">
        <f>IFERROR(VLOOKUP(B522, merchants!$A$2:$D$41, 4, FALSE), "Merchant not found")</f>
        <v>West</v>
      </c>
      <c r="F522" s="4">
        <f>ledger!D522</f>
        <v>46034.500694444447</v>
      </c>
      <c r="G522" s="5">
        <f>ledger!I522</f>
        <v>46034</v>
      </c>
      <c r="H522" s="3">
        <f>ledger!E522</f>
        <v>399</v>
      </c>
      <c r="I522" s="3" t="str">
        <f>ledger!F522</f>
        <v>Card</v>
      </c>
      <c r="J522" s="3" t="str">
        <f>ledger!G522</f>
        <v>failed</v>
      </c>
      <c r="K522" s="9">
        <f>HLOOKUP(I522,Fee!$B$1:$E$2,2,FALSE())</f>
        <v>0.02</v>
      </c>
      <c r="L522" s="12">
        <f t="shared" si="16"/>
        <v>7.98</v>
      </c>
      <c r="M522" s="3">
        <f>SUMIFS(ledger!$E$2:$E$548, ledger!$C$2:$C$548, B522, ledger!$I$2:$I$548, G522)</f>
        <v>399</v>
      </c>
      <c r="N522" s="3" t="str">
        <f t="shared" si="17"/>
        <v>Standard</v>
      </c>
    </row>
    <row r="523" spans="1:14" x14ac:dyDescent="0.3">
      <c r="A523" s="3" t="str">
        <f>ledger!A523</f>
        <v>TXN300006</v>
      </c>
      <c r="B523" s="3">
        <f>ledger!C523</f>
        <v>31</v>
      </c>
      <c r="C523" s="4" t="str">
        <f>IFERROR(VLOOKUP(B523, merchants!$A$2:$D$41, 2, FALSE), "Merchant not found")</f>
        <v>Merchant_031</v>
      </c>
      <c r="D523" s="3" t="str">
        <f>IFERROR(VLOOKUP(B523, merchants!$A$2:$D$41, 3, FALSE), "Merchant not found")</f>
        <v>bill_payment</v>
      </c>
      <c r="E523" s="3" t="str">
        <f>IFERROR(VLOOKUP(B523, merchants!$A$2:$D$41, 4, FALSE), "Merchant not found")</f>
        <v>East</v>
      </c>
      <c r="F523" s="4">
        <f>ledger!D523</f>
        <v>46034.501388888886</v>
      </c>
      <c r="G523" s="5">
        <f>ledger!I523</f>
        <v>46034</v>
      </c>
      <c r="H523" s="3">
        <f>ledger!E523</f>
        <v>299</v>
      </c>
      <c r="I523" s="3" t="str">
        <f>ledger!F523</f>
        <v>Card</v>
      </c>
      <c r="J523" s="3" t="str">
        <f>ledger!G523</f>
        <v>failed</v>
      </c>
      <c r="K523" s="9">
        <f>HLOOKUP(I523,Fee!$B$1:$E$2,2,FALSE())</f>
        <v>0.02</v>
      </c>
      <c r="L523" s="12">
        <f t="shared" si="16"/>
        <v>5.98</v>
      </c>
      <c r="M523" s="3">
        <f>SUMIFS(ledger!$E$2:$E$548, ledger!$C$2:$C$548, B523, ledger!$I$2:$I$548, G523)</f>
        <v>598</v>
      </c>
      <c r="N523" s="3" t="str">
        <f t="shared" si="17"/>
        <v>Standard</v>
      </c>
    </row>
    <row r="524" spans="1:14" x14ac:dyDescent="0.3">
      <c r="A524" s="3" t="str">
        <f>ledger!A524</f>
        <v>TXN300007</v>
      </c>
      <c r="B524" s="3">
        <f>ledger!C524</f>
        <v>27</v>
      </c>
      <c r="C524" s="4" t="str">
        <f>IFERROR(VLOOKUP(B524, merchants!$A$2:$D$41, 2, FALSE), "Merchant not found")</f>
        <v>Merchant_027</v>
      </c>
      <c r="D524" s="3" t="str">
        <f>IFERROR(VLOOKUP(B524, merchants!$A$2:$D$41, 3, FALSE), "Merchant not found")</f>
        <v>ecommerce</v>
      </c>
      <c r="E524" s="3" t="str">
        <f>IFERROR(VLOOKUP(B524, merchants!$A$2:$D$41, 4, FALSE), "Merchant not found")</f>
        <v>North</v>
      </c>
      <c r="F524" s="4">
        <f>ledger!D524</f>
        <v>46034.502083333333</v>
      </c>
      <c r="G524" s="5">
        <f>ledger!I524</f>
        <v>46034</v>
      </c>
      <c r="H524" s="3">
        <f>ledger!E524</f>
        <v>299</v>
      </c>
      <c r="I524" s="3" t="str">
        <f>ledger!F524</f>
        <v>Card</v>
      </c>
      <c r="J524" s="3" t="str">
        <f>ledger!G524</f>
        <v>captured</v>
      </c>
      <c r="K524" s="9">
        <f>HLOOKUP(I524,Fee!$B$1:$E$2,2,FALSE())</f>
        <v>0.02</v>
      </c>
      <c r="L524" s="12">
        <f t="shared" si="16"/>
        <v>5.98</v>
      </c>
      <c r="M524" s="3">
        <f>SUMIFS(ledger!$E$2:$E$548, ledger!$C$2:$C$548, B524, ledger!$I$2:$I$548, G524)</f>
        <v>299</v>
      </c>
      <c r="N524" s="3" t="str">
        <f t="shared" si="17"/>
        <v>Standard</v>
      </c>
    </row>
    <row r="525" spans="1:14" x14ac:dyDescent="0.3">
      <c r="A525" s="3" t="str">
        <f>ledger!A525</f>
        <v>TXN300008</v>
      </c>
      <c r="B525" s="3">
        <f>ledger!C525</f>
        <v>22</v>
      </c>
      <c r="C525" s="4" t="str">
        <f>IFERROR(VLOOKUP(B525, merchants!$A$2:$D$41, 2, FALSE), "Merchant not found")</f>
        <v>Merchant_022</v>
      </c>
      <c r="D525" s="3" t="str">
        <f>IFERROR(VLOOKUP(B525, merchants!$A$2:$D$41, 3, FALSE), "Merchant not found")</f>
        <v>travel</v>
      </c>
      <c r="E525" s="3" t="str">
        <f>IFERROR(VLOOKUP(B525, merchants!$A$2:$D$41, 4, FALSE), "Merchant not found")</f>
        <v>South</v>
      </c>
      <c r="F525" s="4">
        <f>ledger!D525</f>
        <v>46034.375</v>
      </c>
      <c r="G525" s="5">
        <f>ledger!I525</f>
        <v>46034</v>
      </c>
      <c r="H525" s="3">
        <f>ledger!E525</f>
        <v>399</v>
      </c>
      <c r="I525" s="3" t="str">
        <f>ledger!F525</f>
        <v>Card</v>
      </c>
      <c r="J525" s="3" t="str">
        <f>ledger!G525</f>
        <v>failed</v>
      </c>
      <c r="K525" s="9">
        <f>HLOOKUP(I525,Fee!$B$1:$E$2,2,FALSE())</f>
        <v>0.02</v>
      </c>
      <c r="L525" s="12">
        <f t="shared" si="16"/>
        <v>7.98</v>
      </c>
      <c r="M525" s="3">
        <f>SUMIFS(ledger!$E$2:$E$548, ledger!$C$2:$C$548, B525, ledger!$I$2:$I$548, G525)</f>
        <v>1697</v>
      </c>
      <c r="N525" s="3" t="str">
        <f t="shared" si="17"/>
        <v>Standard</v>
      </c>
    </row>
    <row r="526" spans="1:14" x14ac:dyDescent="0.3">
      <c r="A526" s="3" t="str">
        <f>ledger!A526</f>
        <v>TXN300009</v>
      </c>
      <c r="B526" s="3">
        <f>ledger!C526</f>
        <v>34</v>
      </c>
      <c r="C526" s="4" t="str">
        <f>IFERROR(VLOOKUP(B526, merchants!$A$2:$D$41, 2, FALSE), "Merchant not found")</f>
        <v>Merchant_034</v>
      </c>
      <c r="D526" s="3" t="str">
        <f>IFERROR(VLOOKUP(B526, merchants!$A$2:$D$41, 3, FALSE), "Merchant not found")</f>
        <v>travel</v>
      </c>
      <c r="E526" s="3" t="str">
        <f>IFERROR(VLOOKUP(B526, merchants!$A$2:$D$41, 4, FALSE), "Merchant not found")</f>
        <v>South</v>
      </c>
      <c r="F526" s="4">
        <f>ledger!D526</f>
        <v>46034.375694444447</v>
      </c>
      <c r="G526" s="5">
        <f>ledger!I526</f>
        <v>46034</v>
      </c>
      <c r="H526" s="3">
        <f>ledger!E526</f>
        <v>399</v>
      </c>
      <c r="I526" s="3" t="str">
        <f>ledger!F526</f>
        <v>Card</v>
      </c>
      <c r="J526" s="3" t="str">
        <f>ledger!G526</f>
        <v>failed</v>
      </c>
      <c r="K526" s="9">
        <f>HLOOKUP(I526,Fee!$B$1:$E$2,2,FALSE())</f>
        <v>0.02</v>
      </c>
      <c r="L526" s="12">
        <f t="shared" si="16"/>
        <v>7.98</v>
      </c>
      <c r="M526" s="3">
        <f>SUMIFS(ledger!$E$2:$E$548, ledger!$C$2:$C$548, B526, ledger!$I$2:$I$548, G526)</f>
        <v>399</v>
      </c>
      <c r="N526" s="3" t="str">
        <f t="shared" si="17"/>
        <v>Standard</v>
      </c>
    </row>
    <row r="527" spans="1:14" x14ac:dyDescent="0.3">
      <c r="A527" s="3" t="str">
        <f>ledger!A527</f>
        <v>TXN300010</v>
      </c>
      <c r="B527" s="3">
        <f>ledger!C527</f>
        <v>31</v>
      </c>
      <c r="C527" s="4" t="str">
        <f>IFERROR(VLOOKUP(B527, merchants!$A$2:$D$41, 2, FALSE), "Merchant not found")</f>
        <v>Merchant_031</v>
      </c>
      <c r="D527" s="3" t="str">
        <f>IFERROR(VLOOKUP(B527, merchants!$A$2:$D$41, 3, FALSE), "Merchant not found")</f>
        <v>bill_payment</v>
      </c>
      <c r="E527" s="3" t="str">
        <f>IFERROR(VLOOKUP(B527, merchants!$A$2:$D$41, 4, FALSE), "Merchant not found")</f>
        <v>East</v>
      </c>
      <c r="F527" s="4">
        <f>ledger!D527</f>
        <v>46034.376388888886</v>
      </c>
      <c r="G527" s="5">
        <f>ledger!I527</f>
        <v>46034</v>
      </c>
      <c r="H527" s="3">
        <f>ledger!E527</f>
        <v>299</v>
      </c>
      <c r="I527" s="3" t="str">
        <f>ledger!F527</f>
        <v>Card</v>
      </c>
      <c r="J527" s="3" t="str">
        <f>ledger!G527</f>
        <v>failed</v>
      </c>
      <c r="K527" s="9">
        <f>HLOOKUP(I527,Fee!$B$1:$E$2,2,FALSE())</f>
        <v>0.02</v>
      </c>
      <c r="L527" s="12">
        <f t="shared" si="16"/>
        <v>5.98</v>
      </c>
      <c r="M527" s="3">
        <f>SUMIFS(ledger!$E$2:$E$548, ledger!$C$2:$C$548, B527, ledger!$I$2:$I$548, G527)</f>
        <v>598</v>
      </c>
      <c r="N527" s="3" t="str">
        <f t="shared" si="17"/>
        <v>Standard</v>
      </c>
    </row>
    <row r="528" spans="1:14" x14ac:dyDescent="0.3">
      <c r="A528" s="3" t="str">
        <f>ledger!A528</f>
        <v>TXN300011</v>
      </c>
      <c r="B528" s="3">
        <f>ledger!C528</f>
        <v>29</v>
      </c>
      <c r="C528" s="4" t="str">
        <f>IFERROR(VLOOKUP(B528, merchants!$A$2:$D$41, 2, FALSE), "Merchant not found")</f>
        <v>Merchant_029</v>
      </c>
      <c r="D528" s="3" t="str">
        <f>IFERROR(VLOOKUP(B528, merchants!$A$2:$D$41, 3, FALSE), "Merchant not found")</f>
        <v>ecommerce</v>
      </c>
      <c r="E528" s="3" t="str">
        <f>IFERROR(VLOOKUP(B528, merchants!$A$2:$D$41, 4, FALSE), "Merchant not found")</f>
        <v>North</v>
      </c>
      <c r="F528" s="4">
        <f>ledger!D528</f>
        <v>46034.377083333333</v>
      </c>
      <c r="G528" s="5">
        <f>ledger!I528</f>
        <v>46034</v>
      </c>
      <c r="H528" s="3">
        <f>ledger!E528</f>
        <v>399</v>
      </c>
      <c r="I528" s="3" t="str">
        <f>ledger!F528</f>
        <v>Card</v>
      </c>
      <c r="J528" s="3" t="str">
        <f>ledger!G528</f>
        <v>captured</v>
      </c>
      <c r="K528" s="9">
        <f>HLOOKUP(I528,Fee!$B$1:$E$2,2,FALSE())</f>
        <v>0.02</v>
      </c>
      <c r="L528" s="12">
        <f t="shared" si="16"/>
        <v>7.98</v>
      </c>
      <c r="M528" s="3">
        <f>SUMIFS(ledger!$E$2:$E$548, ledger!$C$2:$C$548, B528, ledger!$I$2:$I$548, G528)</f>
        <v>399</v>
      </c>
      <c r="N528" s="3" t="str">
        <f t="shared" si="17"/>
        <v>Standard</v>
      </c>
    </row>
    <row r="529" spans="1:14" x14ac:dyDescent="0.3">
      <c r="A529" s="3" t="str">
        <f>ledger!A529</f>
        <v>TXN300012</v>
      </c>
      <c r="B529" s="3">
        <f>ledger!C529</f>
        <v>8</v>
      </c>
      <c r="C529" s="4" t="str">
        <f>IFERROR(VLOOKUP(B529, merchants!$A$2:$D$41, 2, FALSE), "Merchant not found")</f>
        <v>Merchant_008</v>
      </c>
      <c r="D529" s="3" t="str">
        <f>IFERROR(VLOOKUP(B529, merchants!$A$2:$D$41, 3, FALSE), "Merchant not found")</f>
        <v>food_delivery</v>
      </c>
      <c r="E529" s="3" t="str">
        <f>IFERROR(VLOOKUP(B529, merchants!$A$2:$D$41, 4, FALSE), "Merchant not found")</f>
        <v>North</v>
      </c>
      <c r="F529" s="4">
        <f>ledger!D529</f>
        <v>46024.916666666664</v>
      </c>
      <c r="G529" s="5">
        <f>ledger!I529</f>
        <v>46024</v>
      </c>
      <c r="H529" s="3">
        <f>ledger!E529</f>
        <v>299</v>
      </c>
      <c r="I529" s="3" t="str">
        <f>ledger!F529</f>
        <v>Card</v>
      </c>
      <c r="J529" s="3" t="str">
        <f>ledger!G529</f>
        <v>failed</v>
      </c>
      <c r="K529" s="9">
        <f>HLOOKUP(I529,Fee!$B$1:$E$2,2,FALSE())</f>
        <v>0.02</v>
      </c>
      <c r="L529" s="12">
        <f t="shared" si="16"/>
        <v>5.98</v>
      </c>
      <c r="M529" s="3">
        <f>SUMIFS(ledger!$E$2:$E$548, ledger!$C$2:$C$548, B529, ledger!$I$2:$I$548, G529)</f>
        <v>299</v>
      </c>
      <c r="N529" s="3" t="str">
        <f t="shared" si="17"/>
        <v>Standard</v>
      </c>
    </row>
    <row r="530" spans="1:14" x14ac:dyDescent="0.3">
      <c r="A530" s="3" t="str">
        <f>ledger!A530</f>
        <v>TXN300013</v>
      </c>
      <c r="B530" s="3">
        <f>ledger!C530</f>
        <v>7</v>
      </c>
      <c r="C530" s="4" t="str">
        <f>IFERROR(VLOOKUP(B530, merchants!$A$2:$D$41, 2, FALSE), "Merchant not found")</f>
        <v>Merchant_007</v>
      </c>
      <c r="D530" s="3" t="str">
        <f>IFERROR(VLOOKUP(B530, merchants!$A$2:$D$41, 3, FALSE), "Merchant not found")</f>
        <v>food_delivery</v>
      </c>
      <c r="E530" s="3" t="str">
        <f>IFERROR(VLOOKUP(B530, merchants!$A$2:$D$41, 4, FALSE), "Merchant not found")</f>
        <v>East</v>
      </c>
      <c r="F530" s="4">
        <f>ledger!D530</f>
        <v>46024.917361111111</v>
      </c>
      <c r="G530" s="5">
        <f>ledger!I530</f>
        <v>46024</v>
      </c>
      <c r="H530" s="3">
        <f>ledger!E530</f>
        <v>499</v>
      </c>
      <c r="I530" s="3" t="str">
        <f>ledger!F530</f>
        <v>Card</v>
      </c>
      <c r="J530" s="3" t="str">
        <f>ledger!G530</f>
        <v>failed</v>
      </c>
      <c r="K530" s="9">
        <f>HLOOKUP(I530,Fee!$B$1:$E$2,2,FALSE())</f>
        <v>0.02</v>
      </c>
      <c r="L530" s="12">
        <f t="shared" si="16"/>
        <v>9.98</v>
      </c>
      <c r="M530" s="3">
        <f>SUMIFS(ledger!$E$2:$E$548, ledger!$C$2:$C$548, B530, ledger!$I$2:$I$548, G530)</f>
        <v>3797</v>
      </c>
      <c r="N530" s="3" t="str">
        <f t="shared" si="17"/>
        <v>Standard</v>
      </c>
    </row>
    <row r="531" spans="1:14" x14ac:dyDescent="0.3">
      <c r="A531" s="3" t="str">
        <f>ledger!A531</f>
        <v>TXN300014</v>
      </c>
      <c r="B531" s="3">
        <f>ledger!C531</f>
        <v>16</v>
      </c>
      <c r="C531" s="4" t="str">
        <f>IFERROR(VLOOKUP(B531, merchants!$A$2:$D$41, 2, FALSE), "Merchant not found")</f>
        <v>Merchant_016</v>
      </c>
      <c r="D531" s="3" t="str">
        <f>IFERROR(VLOOKUP(B531, merchants!$A$2:$D$41, 3, FALSE), "Merchant not found")</f>
        <v>bill_payment</v>
      </c>
      <c r="E531" s="3" t="str">
        <f>IFERROR(VLOOKUP(B531, merchants!$A$2:$D$41, 4, FALSE), "Merchant not found")</f>
        <v>West</v>
      </c>
      <c r="F531" s="4">
        <f>ledger!D531</f>
        <v>46024.918055555558</v>
      </c>
      <c r="G531" s="5">
        <f>ledger!I531</f>
        <v>46024</v>
      </c>
      <c r="H531" s="3">
        <f>ledger!E531</f>
        <v>499</v>
      </c>
      <c r="I531" s="3" t="str">
        <f>ledger!F531</f>
        <v>Card</v>
      </c>
      <c r="J531" s="3" t="str">
        <f>ledger!G531</f>
        <v>failed</v>
      </c>
      <c r="K531" s="9">
        <f>HLOOKUP(I531,Fee!$B$1:$E$2,2,FALSE())</f>
        <v>0.02</v>
      </c>
      <c r="L531" s="12">
        <f t="shared" si="16"/>
        <v>9.98</v>
      </c>
      <c r="M531" s="3">
        <f>SUMIFS(ledger!$E$2:$E$548, ledger!$C$2:$C$548, B531, ledger!$I$2:$I$548, G531)</f>
        <v>499</v>
      </c>
      <c r="N531" s="3" t="str">
        <f t="shared" si="17"/>
        <v>Standard</v>
      </c>
    </row>
    <row r="532" spans="1:14" x14ac:dyDescent="0.3">
      <c r="A532" s="3" t="str">
        <f>ledger!A532</f>
        <v>TXN300015</v>
      </c>
      <c r="B532" s="3">
        <f>ledger!C532</f>
        <v>36</v>
      </c>
      <c r="C532" s="4" t="str">
        <f>IFERROR(VLOOKUP(B532, merchants!$A$2:$D$41, 2, FALSE), "Merchant not found")</f>
        <v>Merchant_036</v>
      </c>
      <c r="D532" s="3" t="str">
        <f>IFERROR(VLOOKUP(B532, merchants!$A$2:$D$41, 3, FALSE), "Merchant not found")</f>
        <v>entertainment</v>
      </c>
      <c r="E532" s="3" t="str">
        <f>IFERROR(VLOOKUP(B532, merchants!$A$2:$D$41, 4, FALSE), "Merchant not found")</f>
        <v>East</v>
      </c>
      <c r="F532" s="4">
        <f>ledger!D532</f>
        <v>46024.918749999997</v>
      </c>
      <c r="G532" s="5">
        <f>ledger!I532</f>
        <v>46024</v>
      </c>
      <c r="H532" s="3">
        <f>ledger!E532</f>
        <v>299</v>
      </c>
      <c r="I532" s="3" t="str">
        <f>ledger!F532</f>
        <v>Card</v>
      </c>
      <c r="J532" s="3" t="str">
        <f>ledger!G532</f>
        <v>captured</v>
      </c>
      <c r="K532" s="9">
        <f>HLOOKUP(I532,Fee!$B$1:$E$2,2,FALSE())</f>
        <v>0.02</v>
      </c>
      <c r="L532" s="12">
        <f t="shared" si="16"/>
        <v>5.98</v>
      </c>
      <c r="M532" s="3">
        <f>SUMIFS(ledger!$E$2:$E$548, ledger!$C$2:$C$548, B532, ledger!$I$2:$I$548, G532)</f>
        <v>299</v>
      </c>
      <c r="N532" s="3" t="str">
        <f t="shared" si="17"/>
        <v>Standard</v>
      </c>
    </row>
    <row r="533" spans="1:14" x14ac:dyDescent="0.3">
      <c r="A533" s="3" t="str">
        <f>ledger!A533</f>
        <v>TXN300016</v>
      </c>
      <c r="B533" s="3">
        <f>ledger!C533</f>
        <v>15</v>
      </c>
      <c r="C533" s="4" t="str">
        <f>IFERROR(VLOOKUP(B533, merchants!$A$2:$D$41, 2, FALSE), "Merchant not found")</f>
        <v>Merchant_015</v>
      </c>
      <c r="D533" s="3" t="str">
        <f>IFERROR(VLOOKUP(B533, merchants!$A$2:$D$41, 3, FALSE), "Merchant not found")</f>
        <v>travel</v>
      </c>
      <c r="E533" s="3" t="str">
        <f>IFERROR(VLOOKUP(B533, merchants!$A$2:$D$41, 4, FALSE), "Merchant not found")</f>
        <v>North</v>
      </c>
      <c r="F533" s="4">
        <f>ledger!D533</f>
        <v>46036.583333333336</v>
      </c>
      <c r="G533" s="5">
        <f>ledger!I533</f>
        <v>46036</v>
      </c>
      <c r="H533" s="3">
        <f>ledger!E533</f>
        <v>399</v>
      </c>
      <c r="I533" s="3" t="str">
        <f>ledger!F533</f>
        <v>Card</v>
      </c>
      <c r="J533" s="3" t="str">
        <f>ledger!G533</f>
        <v>failed</v>
      </c>
      <c r="K533" s="9">
        <f>HLOOKUP(I533,Fee!$B$1:$E$2,2,FALSE())</f>
        <v>0.02</v>
      </c>
      <c r="L533" s="12">
        <f t="shared" si="16"/>
        <v>7.98</v>
      </c>
      <c r="M533" s="3">
        <f>SUMIFS(ledger!$E$2:$E$548, ledger!$C$2:$C$548, B533, ledger!$I$2:$I$548, G533)</f>
        <v>399</v>
      </c>
      <c r="N533" s="3" t="str">
        <f t="shared" si="17"/>
        <v>Standard</v>
      </c>
    </row>
    <row r="534" spans="1:14" x14ac:dyDescent="0.3">
      <c r="A534" s="3" t="str">
        <f>ledger!A534</f>
        <v>TXN300017</v>
      </c>
      <c r="B534" s="3">
        <f>ledger!C534</f>
        <v>12</v>
      </c>
      <c r="C534" s="4" t="str">
        <f>IFERROR(VLOOKUP(B534, merchants!$A$2:$D$41, 2, FALSE), "Merchant not found")</f>
        <v>Merchant_012</v>
      </c>
      <c r="D534" s="3" t="str">
        <f>IFERROR(VLOOKUP(B534, merchants!$A$2:$D$41, 3, FALSE), "Merchant not found")</f>
        <v>ecommerce</v>
      </c>
      <c r="E534" s="3" t="str">
        <f>IFERROR(VLOOKUP(B534, merchants!$A$2:$D$41, 4, FALSE), "Merchant not found")</f>
        <v>East</v>
      </c>
      <c r="F534" s="4">
        <f>ledger!D534</f>
        <v>46036.584027777775</v>
      </c>
      <c r="G534" s="5">
        <f>ledger!I534</f>
        <v>46036</v>
      </c>
      <c r="H534" s="3">
        <f>ledger!E534</f>
        <v>499</v>
      </c>
      <c r="I534" s="3" t="str">
        <f>ledger!F534</f>
        <v>Card</v>
      </c>
      <c r="J534" s="3" t="str">
        <f>ledger!G534</f>
        <v>failed</v>
      </c>
      <c r="K534" s="9">
        <f>HLOOKUP(I534,Fee!$B$1:$E$2,2,FALSE())</f>
        <v>0.02</v>
      </c>
      <c r="L534" s="12">
        <f t="shared" si="16"/>
        <v>9.98</v>
      </c>
      <c r="M534" s="3">
        <f>SUMIFS(ledger!$E$2:$E$548, ledger!$C$2:$C$548, B534, ledger!$I$2:$I$548, G534)</f>
        <v>548</v>
      </c>
      <c r="N534" s="3" t="str">
        <f t="shared" si="17"/>
        <v>Standard</v>
      </c>
    </row>
    <row r="535" spans="1:14" x14ac:dyDescent="0.3">
      <c r="A535" s="3" t="str">
        <f>ledger!A535</f>
        <v>TXN300018</v>
      </c>
      <c r="B535" s="3">
        <f>ledger!C535</f>
        <v>26</v>
      </c>
      <c r="C535" s="4" t="str">
        <f>IFERROR(VLOOKUP(B535, merchants!$A$2:$D$41, 2, FALSE), "Merchant not found")</f>
        <v>Merchant_026</v>
      </c>
      <c r="D535" s="3" t="str">
        <f>IFERROR(VLOOKUP(B535, merchants!$A$2:$D$41, 3, FALSE), "Merchant not found")</f>
        <v>food_delivery</v>
      </c>
      <c r="E535" s="3" t="str">
        <f>IFERROR(VLOOKUP(B535, merchants!$A$2:$D$41, 4, FALSE), "Merchant not found")</f>
        <v>East</v>
      </c>
      <c r="F535" s="4">
        <f>ledger!D535</f>
        <v>46036.584722222222</v>
      </c>
      <c r="G535" s="5">
        <f>ledger!I535</f>
        <v>46036</v>
      </c>
      <c r="H535" s="3">
        <f>ledger!E535</f>
        <v>299</v>
      </c>
      <c r="I535" s="3" t="str">
        <f>ledger!F535</f>
        <v>Card</v>
      </c>
      <c r="J535" s="3" t="str">
        <f>ledger!G535</f>
        <v>failed</v>
      </c>
      <c r="K535" s="9">
        <f>HLOOKUP(I535,Fee!$B$1:$E$2,2,FALSE())</f>
        <v>0.02</v>
      </c>
      <c r="L535" s="12">
        <f t="shared" si="16"/>
        <v>5.98</v>
      </c>
      <c r="M535" s="3">
        <f>SUMIFS(ledger!$E$2:$E$548, ledger!$C$2:$C$548, B535, ledger!$I$2:$I$548, G535)</f>
        <v>299</v>
      </c>
      <c r="N535" s="3" t="str">
        <f t="shared" si="17"/>
        <v>Standard</v>
      </c>
    </row>
    <row r="536" spans="1:14" x14ac:dyDescent="0.3">
      <c r="A536" s="3" t="str">
        <f>ledger!A536</f>
        <v>TXN300019</v>
      </c>
      <c r="B536" s="3">
        <f>ledger!C536</f>
        <v>29</v>
      </c>
      <c r="C536" s="4" t="str">
        <f>IFERROR(VLOOKUP(B536, merchants!$A$2:$D$41, 2, FALSE), "Merchant not found")</f>
        <v>Merchant_029</v>
      </c>
      <c r="D536" s="3" t="str">
        <f>IFERROR(VLOOKUP(B536, merchants!$A$2:$D$41, 3, FALSE), "Merchant not found")</f>
        <v>ecommerce</v>
      </c>
      <c r="E536" s="3" t="str">
        <f>IFERROR(VLOOKUP(B536, merchants!$A$2:$D$41, 4, FALSE), "Merchant not found")</f>
        <v>North</v>
      </c>
      <c r="F536" s="4">
        <f>ledger!D536</f>
        <v>46036.585416666669</v>
      </c>
      <c r="G536" s="5">
        <f>ledger!I536</f>
        <v>46036</v>
      </c>
      <c r="H536" s="3">
        <f>ledger!E536</f>
        <v>499</v>
      </c>
      <c r="I536" s="3" t="str">
        <f>ledger!F536</f>
        <v>Card</v>
      </c>
      <c r="J536" s="3" t="str">
        <f>ledger!G536</f>
        <v>captured</v>
      </c>
      <c r="K536" s="9">
        <f>HLOOKUP(I536,Fee!$B$1:$E$2,2,FALSE())</f>
        <v>0.02</v>
      </c>
      <c r="L536" s="12">
        <f t="shared" si="16"/>
        <v>9.98</v>
      </c>
      <c r="M536" s="3">
        <f>SUMIFS(ledger!$E$2:$E$548, ledger!$C$2:$C$548, B536, ledger!$I$2:$I$548, G536)</f>
        <v>1998</v>
      </c>
      <c r="N536" s="3" t="str">
        <f t="shared" si="17"/>
        <v>Standard</v>
      </c>
    </row>
    <row r="537" spans="1:14" x14ac:dyDescent="0.3">
      <c r="A537" s="3" t="str">
        <f>ledger!A537</f>
        <v>TXN300020</v>
      </c>
      <c r="B537" s="3">
        <f>ledger!C537</f>
        <v>14</v>
      </c>
      <c r="C537" s="4" t="str">
        <f>IFERROR(VLOOKUP(B537, merchants!$A$2:$D$41, 2, FALSE), "Merchant not found")</f>
        <v>Merchant_014</v>
      </c>
      <c r="D537" s="3" t="str">
        <f>IFERROR(VLOOKUP(B537, merchants!$A$2:$D$41, 3, FALSE), "Merchant not found")</f>
        <v>grocery</v>
      </c>
      <c r="E537" s="3" t="str">
        <f>IFERROR(VLOOKUP(B537, merchants!$A$2:$D$41, 4, FALSE), "Merchant not found")</f>
        <v>East</v>
      </c>
      <c r="F537" s="4">
        <f>ledger!D537</f>
        <v>46023.916666666664</v>
      </c>
      <c r="G537" s="5">
        <f>ledger!I537</f>
        <v>46023</v>
      </c>
      <c r="H537" s="3">
        <f>ledger!E537</f>
        <v>299</v>
      </c>
      <c r="I537" s="3" t="str">
        <f>ledger!F537</f>
        <v>Card</v>
      </c>
      <c r="J537" s="3" t="str">
        <f>ledger!G537</f>
        <v>failed</v>
      </c>
      <c r="K537" s="9">
        <f>HLOOKUP(I537,Fee!$B$1:$E$2,2,FALSE())</f>
        <v>0.02</v>
      </c>
      <c r="L537" s="12">
        <f t="shared" si="16"/>
        <v>5.98</v>
      </c>
      <c r="M537" s="3">
        <f>SUMIFS(ledger!$E$2:$E$548, ledger!$C$2:$C$548, B537, ledger!$I$2:$I$548, G537)</f>
        <v>299</v>
      </c>
      <c r="N537" s="3" t="str">
        <f t="shared" si="17"/>
        <v>Standard</v>
      </c>
    </row>
    <row r="538" spans="1:14" x14ac:dyDescent="0.3">
      <c r="A538" s="3" t="str">
        <f>ledger!A538</f>
        <v>TXN300021</v>
      </c>
      <c r="B538" s="3">
        <f>ledger!C538</f>
        <v>5</v>
      </c>
      <c r="C538" s="4" t="str">
        <f>IFERROR(VLOOKUP(B538, merchants!$A$2:$D$41, 2, FALSE), "Merchant not found")</f>
        <v>Merchant_005</v>
      </c>
      <c r="D538" s="3" t="str">
        <f>IFERROR(VLOOKUP(B538, merchants!$A$2:$D$41, 3, FALSE), "Merchant not found")</f>
        <v>recharge</v>
      </c>
      <c r="E538" s="3" t="str">
        <f>IFERROR(VLOOKUP(B538, merchants!$A$2:$D$41, 4, FALSE), "Merchant not found")</f>
        <v>South</v>
      </c>
      <c r="F538" s="4">
        <f>ledger!D538</f>
        <v>46023.917361111111</v>
      </c>
      <c r="G538" s="5">
        <f>ledger!I538</f>
        <v>46023</v>
      </c>
      <c r="H538" s="3">
        <f>ledger!E538</f>
        <v>499</v>
      </c>
      <c r="I538" s="3" t="str">
        <f>ledger!F538</f>
        <v>Card</v>
      </c>
      <c r="J538" s="3" t="str">
        <f>ledger!G538</f>
        <v>failed</v>
      </c>
      <c r="K538" s="9">
        <f>HLOOKUP(I538,Fee!$B$1:$E$2,2,FALSE())</f>
        <v>0.02</v>
      </c>
      <c r="L538" s="12">
        <f t="shared" si="16"/>
        <v>9.98</v>
      </c>
      <c r="M538" s="3">
        <f>SUMIFS(ledger!$E$2:$E$548, ledger!$C$2:$C$548, B538, ledger!$I$2:$I$548, G538)</f>
        <v>499</v>
      </c>
      <c r="N538" s="3" t="str">
        <f t="shared" si="17"/>
        <v>Standard</v>
      </c>
    </row>
    <row r="539" spans="1:14" x14ac:dyDescent="0.3">
      <c r="A539" s="3" t="str">
        <f>ledger!A539</f>
        <v>TXN300022</v>
      </c>
      <c r="B539" s="3">
        <f>ledger!C539</f>
        <v>35</v>
      </c>
      <c r="C539" s="4" t="str">
        <f>IFERROR(VLOOKUP(B539, merchants!$A$2:$D$41, 2, FALSE), "Merchant not found")</f>
        <v>Merchant_035</v>
      </c>
      <c r="D539" s="3" t="str">
        <f>IFERROR(VLOOKUP(B539, merchants!$A$2:$D$41, 3, FALSE), "Merchant not found")</f>
        <v>recharge</v>
      </c>
      <c r="E539" s="3" t="str">
        <f>IFERROR(VLOOKUP(B539, merchants!$A$2:$D$41, 4, FALSE), "Merchant not found")</f>
        <v>East</v>
      </c>
      <c r="F539" s="4">
        <f>ledger!D539</f>
        <v>46023.918055555558</v>
      </c>
      <c r="G539" s="5">
        <f>ledger!I539</f>
        <v>46023</v>
      </c>
      <c r="H539" s="3">
        <f>ledger!E539</f>
        <v>299</v>
      </c>
      <c r="I539" s="3" t="str">
        <f>ledger!F539</f>
        <v>Card</v>
      </c>
      <c r="J539" s="3" t="str">
        <f>ledger!G539</f>
        <v>failed</v>
      </c>
      <c r="K539" s="9">
        <f>HLOOKUP(I539,Fee!$B$1:$E$2,2,FALSE())</f>
        <v>0.02</v>
      </c>
      <c r="L539" s="12">
        <f t="shared" si="16"/>
        <v>5.98</v>
      </c>
      <c r="M539" s="3">
        <f>SUMIFS(ledger!$E$2:$E$548, ledger!$C$2:$C$548, B539, ledger!$I$2:$I$548, G539)</f>
        <v>798</v>
      </c>
      <c r="N539" s="3" t="str">
        <f t="shared" si="17"/>
        <v>Standard</v>
      </c>
    </row>
    <row r="540" spans="1:14" x14ac:dyDescent="0.3">
      <c r="A540" s="3" t="str">
        <f>ledger!A540</f>
        <v>TXN300023</v>
      </c>
      <c r="B540" s="3">
        <f>ledger!C540</f>
        <v>21</v>
      </c>
      <c r="C540" s="4" t="str">
        <f>IFERROR(VLOOKUP(B540, merchants!$A$2:$D$41, 2, FALSE), "Merchant not found")</f>
        <v>Merchant_021</v>
      </c>
      <c r="D540" s="3" t="str">
        <f>IFERROR(VLOOKUP(B540, merchants!$A$2:$D$41, 3, FALSE), "Merchant not found")</f>
        <v>food_delivery</v>
      </c>
      <c r="E540" s="3" t="str">
        <f>IFERROR(VLOOKUP(B540, merchants!$A$2:$D$41, 4, FALSE), "Merchant not found")</f>
        <v>East</v>
      </c>
      <c r="F540" s="4">
        <f>ledger!D540</f>
        <v>46023.918749999997</v>
      </c>
      <c r="G540" s="5">
        <f>ledger!I540</f>
        <v>46023</v>
      </c>
      <c r="H540" s="3">
        <f>ledger!E540</f>
        <v>299</v>
      </c>
      <c r="I540" s="3" t="str">
        <f>ledger!F540</f>
        <v>Card</v>
      </c>
      <c r="J540" s="3" t="str">
        <f>ledger!G540</f>
        <v>captured</v>
      </c>
      <c r="K540" s="9">
        <f>HLOOKUP(I540,Fee!$B$1:$E$2,2,FALSE())</f>
        <v>0.02</v>
      </c>
      <c r="L540" s="12">
        <f t="shared" si="16"/>
        <v>5.98</v>
      </c>
      <c r="M540" s="3">
        <f>SUMIFS(ledger!$E$2:$E$548, ledger!$C$2:$C$548, B540, ledger!$I$2:$I$548, G540)</f>
        <v>5298</v>
      </c>
      <c r="N540" s="3" t="str">
        <f t="shared" si="17"/>
        <v>Standard</v>
      </c>
    </row>
    <row r="541" spans="1:14" x14ac:dyDescent="0.3">
      <c r="A541" s="3" t="str">
        <f>ledger!A541</f>
        <v>TXN300024</v>
      </c>
      <c r="B541" s="3">
        <f>ledger!C541</f>
        <v>32</v>
      </c>
      <c r="C541" s="4" t="str">
        <f>IFERROR(VLOOKUP(B541, merchants!$A$2:$D$41, 2, FALSE), "Merchant not found")</f>
        <v>Merchant_032</v>
      </c>
      <c r="D541" s="3" t="str">
        <f>IFERROR(VLOOKUP(B541, merchants!$A$2:$D$41, 3, FALSE), "Merchant not found")</f>
        <v>food_delivery</v>
      </c>
      <c r="E541" s="3" t="str">
        <f>IFERROR(VLOOKUP(B541, merchants!$A$2:$D$41, 4, FALSE), "Merchant not found")</f>
        <v>West</v>
      </c>
      <c r="F541" s="4">
        <f>ledger!D541</f>
        <v>46031.875</v>
      </c>
      <c r="G541" s="5">
        <f>ledger!I541</f>
        <v>46031</v>
      </c>
      <c r="H541" s="3">
        <f>ledger!E541</f>
        <v>499</v>
      </c>
      <c r="I541" s="3" t="str">
        <f>ledger!F541</f>
        <v>Card</v>
      </c>
      <c r="J541" s="3" t="str">
        <f>ledger!G541</f>
        <v>failed</v>
      </c>
      <c r="K541" s="9">
        <f>HLOOKUP(I541,Fee!$B$1:$E$2,2,FALSE())</f>
        <v>0.02</v>
      </c>
      <c r="L541" s="12">
        <f t="shared" si="16"/>
        <v>9.98</v>
      </c>
      <c r="M541" s="3">
        <f>SUMIFS(ledger!$E$2:$E$548, ledger!$C$2:$C$548, B541, ledger!$I$2:$I$548, G541)</f>
        <v>499</v>
      </c>
      <c r="N541" s="3" t="str">
        <f t="shared" si="17"/>
        <v>Standard</v>
      </c>
    </row>
    <row r="542" spans="1:14" x14ac:dyDescent="0.3">
      <c r="A542" s="3" t="str">
        <f>ledger!A542</f>
        <v>TXN300025</v>
      </c>
      <c r="B542" s="3">
        <f>ledger!C542</f>
        <v>39</v>
      </c>
      <c r="C542" s="4" t="str">
        <f>IFERROR(VLOOKUP(B542, merchants!$A$2:$D$41, 2, FALSE), "Merchant not found")</f>
        <v>Merchant_039</v>
      </c>
      <c r="D542" s="3" t="str">
        <f>IFERROR(VLOOKUP(B542, merchants!$A$2:$D$41, 3, FALSE), "Merchant not found")</f>
        <v>entertainment</v>
      </c>
      <c r="E542" s="3" t="str">
        <f>IFERROR(VLOOKUP(B542, merchants!$A$2:$D$41, 4, FALSE), "Merchant not found")</f>
        <v>North</v>
      </c>
      <c r="F542" s="4">
        <f>ledger!D542</f>
        <v>46031.875694444447</v>
      </c>
      <c r="G542" s="5">
        <f>ledger!I542</f>
        <v>46031</v>
      </c>
      <c r="H542" s="3">
        <f>ledger!E542</f>
        <v>399</v>
      </c>
      <c r="I542" s="3" t="str">
        <f>ledger!F542</f>
        <v>Card</v>
      </c>
      <c r="J542" s="3" t="str">
        <f>ledger!G542</f>
        <v>failed</v>
      </c>
      <c r="K542" s="9">
        <f>HLOOKUP(I542,Fee!$B$1:$E$2,2,FALSE())</f>
        <v>0.02</v>
      </c>
      <c r="L542" s="12">
        <f t="shared" si="16"/>
        <v>7.98</v>
      </c>
      <c r="M542" s="3">
        <f>SUMIFS(ledger!$E$2:$E$548, ledger!$C$2:$C$548, B542, ledger!$I$2:$I$548, G542)</f>
        <v>399</v>
      </c>
      <c r="N542" s="3" t="str">
        <f t="shared" si="17"/>
        <v>Standard</v>
      </c>
    </row>
    <row r="543" spans="1:14" x14ac:dyDescent="0.3">
      <c r="A543" s="3" t="str">
        <f>ledger!A543</f>
        <v>TXN300026</v>
      </c>
      <c r="B543" s="3">
        <f>ledger!C543</f>
        <v>38</v>
      </c>
      <c r="C543" s="4" t="str">
        <f>IFERROR(VLOOKUP(B543, merchants!$A$2:$D$41, 2, FALSE), "Merchant not found")</f>
        <v>Merchant_038</v>
      </c>
      <c r="D543" s="3" t="str">
        <f>IFERROR(VLOOKUP(B543, merchants!$A$2:$D$41, 3, FALSE), "Merchant not found")</f>
        <v>grocery</v>
      </c>
      <c r="E543" s="3" t="str">
        <f>IFERROR(VLOOKUP(B543, merchants!$A$2:$D$41, 4, FALSE), "Merchant not found")</f>
        <v>East</v>
      </c>
      <c r="F543" s="4">
        <f>ledger!D543</f>
        <v>46031.876388888886</v>
      </c>
      <c r="G543" s="5">
        <f>ledger!I543</f>
        <v>46031</v>
      </c>
      <c r="H543" s="3">
        <f>ledger!E543</f>
        <v>299</v>
      </c>
      <c r="I543" s="3" t="str">
        <f>ledger!F543</f>
        <v>Card</v>
      </c>
      <c r="J543" s="3" t="str">
        <f>ledger!G543</f>
        <v>failed</v>
      </c>
      <c r="K543" s="9">
        <f>HLOOKUP(I543,Fee!$B$1:$E$2,2,FALSE())</f>
        <v>0.02</v>
      </c>
      <c r="L543" s="12">
        <f t="shared" si="16"/>
        <v>5.98</v>
      </c>
      <c r="M543" s="3">
        <f>SUMIFS(ledger!$E$2:$E$548, ledger!$C$2:$C$548, B543, ledger!$I$2:$I$548, G543)</f>
        <v>348</v>
      </c>
      <c r="N543" s="3" t="str">
        <f t="shared" si="17"/>
        <v>Standard</v>
      </c>
    </row>
    <row r="544" spans="1:14" x14ac:dyDescent="0.3">
      <c r="A544" s="3" t="str">
        <f>ledger!A544</f>
        <v>TXN300027</v>
      </c>
      <c r="B544" s="3">
        <f>ledger!C544</f>
        <v>23</v>
      </c>
      <c r="C544" s="4" t="str">
        <f>IFERROR(VLOOKUP(B544, merchants!$A$2:$D$41, 2, FALSE), "Merchant not found")</f>
        <v>Merchant_023</v>
      </c>
      <c r="D544" s="3" t="str">
        <f>IFERROR(VLOOKUP(B544, merchants!$A$2:$D$41, 3, FALSE), "Merchant not found")</f>
        <v>travel</v>
      </c>
      <c r="E544" s="3" t="str">
        <f>IFERROR(VLOOKUP(B544, merchants!$A$2:$D$41, 4, FALSE), "Merchant not found")</f>
        <v>North</v>
      </c>
      <c r="F544" s="4">
        <f>ledger!D544</f>
        <v>46031.877083333333</v>
      </c>
      <c r="G544" s="5">
        <f>ledger!I544</f>
        <v>46031</v>
      </c>
      <c r="H544" s="3">
        <f>ledger!E544</f>
        <v>399</v>
      </c>
      <c r="I544" s="3" t="str">
        <f>ledger!F544</f>
        <v>Card</v>
      </c>
      <c r="J544" s="3" t="str">
        <f>ledger!G544</f>
        <v>captured</v>
      </c>
      <c r="K544" s="9">
        <f>HLOOKUP(I544,Fee!$B$1:$E$2,2,FALSE())</f>
        <v>0.02</v>
      </c>
      <c r="L544" s="12">
        <f t="shared" si="16"/>
        <v>7.98</v>
      </c>
      <c r="M544" s="3">
        <f>SUMIFS(ledger!$E$2:$E$548, ledger!$C$2:$C$548, B544, ledger!$I$2:$I$548, G544)</f>
        <v>399</v>
      </c>
      <c r="N544" s="3" t="str">
        <f t="shared" si="17"/>
        <v>Standard</v>
      </c>
    </row>
    <row r="545" spans="1:14" x14ac:dyDescent="0.3">
      <c r="A545" s="3" t="str">
        <f>ledger!A545</f>
        <v>TXN300028</v>
      </c>
      <c r="B545" s="3">
        <f>ledger!C545</f>
        <v>40</v>
      </c>
      <c r="C545" s="4" t="str">
        <f>IFERROR(VLOOKUP(B545, merchants!$A$2:$D$41, 2, FALSE), "Merchant not found")</f>
        <v>Merchant_040</v>
      </c>
      <c r="D545" s="3" t="str">
        <f>IFERROR(VLOOKUP(B545, merchants!$A$2:$D$41, 3, FALSE), "Merchant not found")</f>
        <v>entertainment</v>
      </c>
      <c r="E545" s="3" t="str">
        <f>IFERROR(VLOOKUP(B545, merchants!$A$2:$D$41, 4, FALSE), "Merchant not found")</f>
        <v>South</v>
      </c>
      <c r="F545" s="4">
        <f>ledger!D545</f>
        <v>46045.375</v>
      </c>
      <c r="G545" s="5">
        <f>ledger!I545</f>
        <v>46045</v>
      </c>
      <c r="H545" s="3">
        <f>ledger!E545</f>
        <v>499</v>
      </c>
      <c r="I545" s="3" t="str">
        <f>ledger!F545</f>
        <v>Card</v>
      </c>
      <c r="J545" s="3" t="str">
        <f>ledger!G545</f>
        <v>failed</v>
      </c>
      <c r="K545" s="9">
        <f>HLOOKUP(I545,Fee!$B$1:$E$2,2,FALSE())</f>
        <v>0.02</v>
      </c>
      <c r="L545" s="12">
        <f t="shared" si="16"/>
        <v>9.98</v>
      </c>
      <c r="M545" s="3">
        <f>SUMIFS(ledger!$E$2:$E$548, ledger!$C$2:$C$548, B545, ledger!$I$2:$I$548, G545)</f>
        <v>598</v>
      </c>
      <c r="N545" s="3" t="str">
        <f t="shared" si="17"/>
        <v>Standard</v>
      </c>
    </row>
    <row r="546" spans="1:14" x14ac:dyDescent="0.3">
      <c r="A546" s="3" t="str">
        <f>ledger!A546</f>
        <v>TXN300029</v>
      </c>
      <c r="B546" s="3">
        <f>ledger!C546</f>
        <v>9</v>
      </c>
      <c r="C546" s="4" t="str">
        <f>IFERROR(VLOOKUP(B546, merchants!$A$2:$D$41, 2, FALSE), "Merchant not found")</f>
        <v>Merchant_009</v>
      </c>
      <c r="D546" s="3" t="str">
        <f>IFERROR(VLOOKUP(B546, merchants!$A$2:$D$41, 3, FALSE), "Merchant not found")</f>
        <v>ecommerce</v>
      </c>
      <c r="E546" s="3" t="str">
        <f>IFERROR(VLOOKUP(B546, merchants!$A$2:$D$41, 4, FALSE), "Merchant not found")</f>
        <v>North</v>
      </c>
      <c r="F546" s="4">
        <f>ledger!D546</f>
        <v>46045.375694444447</v>
      </c>
      <c r="G546" s="5">
        <f>ledger!I546</f>
        <v>46045</v>
      </c>
      <c r="H546" s="3">
        <f>ledger!E546</f>
        <v>399</v>
      </c>
      <c r="I546" s="3" t="str">
        <f>ledger!F546</f>
        <v>Card</v>
      </c>
      <c r="J546" s="3" t="str">
        <f>ledger!G546</f>
        <v>failed</v>
      </c>
      <c r="K546" s="9">
        <f>HLOOKUP(I546,Fee!$B$1:$E$2,2,FALSE())</f>
        <v>0.02</v>
      </c>
      <c r="L546" s="12">
        <f t="shared" si="16"/>
        <v>7.98</v>
      </c>
      <c r="M546" s="3">
        <f>SUMIFS(ledger!$E$2:$E$548, ledger!$C$2:$C$548, B546, ledger!$I$2:$I$548, G546)</f>
        <v>898</v>
      </c>
      <c r="N546" s="3" t="str">
        <f t="shared" si="17"/>
        <v>Standard</v>
      </c>
    </row>
    <row r="547" spans="1:14" x14ac:dyDescent="0.3">
      <c r="A547" s="3" t="str">
        <f>ledger!A547</f>
        <v>TXN300030</v>
      </c>
      <c r="B547" s="3">
        <f>ledger!C547</f>
        <v>16</v>
      </c>
      <c r="C547" s="4" t="str">
        <f>IFERROR(VLOOKUP(B547, merchants!$A$2:$D$41, 2, FALSE), "Merchant not found")</f>
        <v>Merchant_016</v>
      </c>
      <c r="D547" s="3" t="str">
        <f>IFERROR(VLOOKUP(B547, merchants!$A$2:$D$41, 3, FALSE), "Merchant not found")</f>
        <v>bill_payment</v>
      </c>
      <c r="E547" s="3" t="str">
        <f>IFERROR(VLOOKUP(B547, merchants!$A$2:$D$41, 4, FALSE), "Merchant not found")</f>
        <v>West</v>
      </c>
      <c r="F547" s="4">
        <f>ledger!D547</f>
        <v>46045.376388888886</v>
      </c>
      <c r="G547" s="5">
        <f>ledger!I547</f>
        <v>46045</v>
      </c>
      <c r="H547" s="3">
        <f>ledger!E547</f>
        <v>399</v>
      </c>
      <c r="I547" s="3" t="str">
        <f>ledger!F547</f>
        <v>Card</v>
      </c>
      <c r="J547" s="3" t="str">
        <f>ledger!G547</f>
        <v>failed</v>
      </c>
      <c r="K547" s="9">
        <f>HLOOKUP(I547,Fee!$B$1:$E$2,2,FALSE())</f>
        <v>0.02</v>
      </c>
      <c r="L547" s="12">
        <f t="shared" si="16"/>
        <v>7.98</v>
      </c>
      <c r="M547" s="3">
        <f>SUMIFS(ledger!$E$2:$E$548, ledger!$C$2:$C$548, B547, ledger!$I$2:$I$548, G547)</f>
        <v>399</v>
      </c>
      <c r="N547" s="3" t="str">
        <f t="shared" si="17"/>
        <v>Standard</v>
      </c>
    </row>
    <row r="548" spans="1:14" x14ac:dyDescent="0.3">
      <c r="A548" s="3" t="str">
        <f>ledger!A548</f>
        <v>TXN300031</v>
      </c>
      <c r="B548" s="3">
        <f>ledger!C548</f>
        <v>12</v>
      </c>
      <c r="C548" s="4" t="str">
        <f>IFERROR(VLOOKUP(B548, merchants!$A$2:$D$41, 2, FALSE), "Merchant not found")</f>
        <v>Merchant_012</v>
      </c>
      <c r="D548" s="3" t="str">
        <f>IFERROR(VLOOKUP(B548, merchants!$A$2:$D$41, 3, FALSE), "Merchant not found")</f>
        <v>ecommerce</v>
      </c>
      <c r="E548" s="3" t="str">
        <f>IFERROR(VLOOKUP(B548, merchants!$A$2:$D$41, 4, FALSE), "Merchant not found")</f>
        <v>East</v>
      </c>
      <c r="F548" s="4">
        <f>ledger!D548</f>
        <v>46045.377083333333</v>
      </c>
      <c r="G548" s="5">
        <f>ledger!I548</f>
        <v>46045</v>
      </c>
      <c r="H548" s="3">
        <f>ledger!E548</f>
        <v>399</v>
      </c>
      <c r="I548" s="3" t="str">
        <f>ledger!F548</f>
        <v>Card</v>
      </c>
      <c r="J548" s="3" t="str">
        <f>ledger!G548</f>
        <v>captured</v>
      </c>
      <c r="K548" s="9">
        <f>HLOOKUP(I548,Fee!$B$1:$E$2,2,FALSE())</f>
        <v>0.02</v>
      </c>
      <c r="L548" s="12">
        <f t="shared" si="16"/>
        <v>7.98</v>
      </c>
      <c r="M548" s="3">
        <f>SUMIFS(ledger!$E$2:$E$548, ledger!$C$2:$C$548, B548, ledger!$I$2:$I$548, G548)</f>
        <v>448</v>
      </c>
      <c r="N548" s="3" t="str">
        <f t="shared" si="17"/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C82-5CED-4C33-AA43-6452A35B46DD}">
  <dimension ref="A3:D447"/>
  <sheetViews>
    <sheetView workbookViewId="0">
      <selection activeCell="G6" sqref="G6"/>
    </sheetView>
  </sheetViews>
  <sheetFormatPr defaultRowHeight="14.4" x14ac:dyDescent="0.3"/>
  <cols>
    <col min="1" max="1" width="14.33203125" bestFit="1" customWidth="1"/>
    <col min="2" max="2" width="10.6640625" bestFit="1" customWidth="1"/>
    <col min="3" max="3" width="12.5546875" bestFit="1" customWidth="1"/>
    <col min="4" max="4" width="17" bestFit="1" customWidth="1"/>
  </cols>
  <sheetData>
    <row r="3" spans="1:4" x14ac:dyDescent="0.3">
      <c r="A3" s="6" t="s">
        <v>2</v>
      </c>
      <c r="B3" s="6" t="s">
        <v>617</v>
      </c>
      <c r="C3" t="s">
        <v>620</v>
      </c>
      <c r="D3" t="s">
        <v>621</v>
      </c>
    </row>
    <row r="4" spans="1:4" x14ac:dyDescent="0.3">
      <c r="A4">
        <v>1</v>
      </c>
      <c r="B4" s="2">
        <v>46027</v>
      </c>
      <c r="C4">
        <v>1499</v>
      </c>
      <c r="D4">
        <v>1</v>
      </c>
    </row>
    <row r="5" spans="1:4" x14ac:dyDescent="0.3">
      <c r="A5">
        <v>1</v>
      </c>
      <c r="B5" s="2">
        <v>46028</v>
      </c>
      <c r="C5">
        <v>149</v>
      </c>
      <c r="D5">
        <v>1</v>
      </c>
    </row>
    <row r="6" spans="1:4" x14ac:dyDescent="0.3">
      <c r="A6">
        <v>1</v>
      </c>
      <c r="B6" s="2">
        <v>46031</v>
      </c>
      <c r="C6">
        <v>5048</v>
      </c>
      <c r="D6">
        <v>2</v>
      </c>
    </row>
    <row r="7" spans="1:4" x14ac:dyDescent="0.3">
      <c r="A7">
        <v>1</v>
      </c>
      <c r="B7" s="2">
        <v>46033</v>
      </c>
      <c r="C7">
        <v>299</v>
      </c>
      <c r="D7">
        <v>1</v>
      </c>
    </row>
    <row r="8" spans="1:4" x14ac:dyDescent="0.3">
      <c r="A8">
        <v>1</v>
      </c>
      <c r="B8" s="2">
        <v>46034</v>
      </c>
      <c r="C8">
        <v>149</v>
      </c>
      <c r="D8">
        <v>1</v>
      </c>
    </row>
    <row r="9" spans="1:4" x14ac:dyDescent="0.3">
      <c r="A9">
        <v>1</v>
      </c>
      <c r="B9" s="2">
        <v>46039</v>
      </c>
      <c r="C9">
        <v>149</v>
      </c>
      <c r="D9">
        <v>1</v>
      </c>
    </row>
    <row r="10" spans="1:4" x14ac:dyDescent="0.3">
      <c r="A10">
        <v>1</v>
      </c>
      <c r="B10" s="2">
        <v>46045</v>
      </c>
      <c r="C10">
        <v>3148</v>
      </c>
      <c r="D10">
        <v>2</v>
      </c>
    </row>
    <row r="11" spans="1:4" x14ac:dyDescent="0.3">
      <c r="A11">
        <v>2</v>
      </c>
      <c r="B11" s="2">
        <v>46029</v>
      </c>
      <c r="C11">
        <v>499</v>
      </c>
      <c r="D11">
        <v>1</v>
      </c>
    </row>
    <row r="12" spans="1:4" x14ac:dyDescent="0.3">
      <c r="A12">
        <v>2</v>
      </c>
      <c r="B12" s="2">
        <v>46030</v>
      </c>
      <c r="C12">
        <v>299</v>
      </c>
      <c r="D12">
        <v>1</v>
      </c>
    </row>
    <row r="13" spans="1:4" x14ac:dyDescent="0.3">
      <c r="A13">
        <v>2</v>
      </c>
      <c r="B13" s="2">
        <v>46034</v>
      </c>
      <c r="C13">
        <v>348</v>
      </c>
      <c r="D13">
        <v>2</v>
      </c>
    </row>
    <row r="14" spans="1:4" x14ac:dyDescent="0.3">
      <c r="A14">
        <v>2</v>
      </c>
      <c r="B14" s="2">
        <v>46035</v>
      </c>
      <c r="C14">
        <v>49</v>
      </c>
      <c r="D14">
        <v>1</v>
      </c>
    </row>
    <row r="15" spans="1:4" x14ac:dyDescent="0.3">
      <c r="A15">
        <v>2</v>
      </c>
      <c r="B15" s="2">
        <v>46037</v>
      </c>
      <c r="C15">
        <v>1499</v>
      </c>
      <c r="D15">
        <v>1</v>
      </c>
    </row>
    <row r="16" spans="1:4" x14ac:dyDescent="0.3">
      <c r="A16">
        <v>2</v>
      </c>
      <c r="B16" s="2">
        <v>46041</v>
      </c>
      <c r="C16">
        <v>49</v>
      </c>
      <c r="D16">
        <v>1</v>
      </c>
    </row>
    <row r="17" spans="1:4" x14ac:dyDescent="0.3">
      <c r="A17">
        <v>2</v>
      </c>
      <c r="B17" s="2">
        <v>46044</v>
      </c>
      <c r="C17">
        <v>299</v>
      </c>
      <c r="D17">
        <v>1</v>
      </c>
    </row>
    <row r="18" spans="1:4" x14ac:dyDescent="0.3">
      <c r="A18">
        <v>2</v>
      </c>
      <c r="B18" s="2">
        <v>46048</v>
      </c>
      <c r="C18">
        <v>299</v>
      </c>
      <c r="D18">
        <v>1</v>
      </c>
    </row>
    <row r="19" spans="1:4" x14ac:dyDescent="0.3">
      <c r="A19">
        <v>2</v>
      </c>
      <c r="B19" s="2">
        <v>46052</v>
      </c>
      <c r="C19">
        <v>299</v>
      </c>
      <c r="D19">
        <v>1</v>
      </c>
    </row>
    <row r="20" spans="1:4" x14ac:dyDescent="0.3">
      <c r="A20">
        <v>3</v>
      </c>
      <c r="B20" s="2">
        <v>46025</v>
      </c>
      <c r="C20">
        <v>198</v>
      </c>
      <c r="D20">
        <v>2</v>
      </c>
    </row>
    <row r="21" spans="1:4" x14ac:dyDescent="0.3">
      <c r="A21">
        <v>3</v>
      </c>
      <c r="B21" s="2">
        <v>46027</v>
      </c>
      <c r="C21">
        <v>99</v>
      </c>
      <c r="D21">
        <v>1</v>
      </c>
    </row>
    <row r="22" spans="1:4" x14ac:dyDescent="0.3">
      <c r="A22">
        <v>3</v>
      </c>
      <c r="B22" s="2">
        <v>46028</v>
      </c>
      <c r="C22">
        <v>898</v>
      </c>
      <c r="D22">
        <v>2</v>
      </c>
    </row>
    <row r="23" spans="1:4" x14ac:dyDescent="0.3">
      <c r="A23">
        <v>3</v>
      </c>
      <c r="B23" s="2">
        <v>46029</v>
      </c>
      <c r="C23">
        <v>798</v>
      </c>
      <c r="D23">
        <v>2</v>
      </c>
    </row>
    <row r="24" spans="1:4" x14ac:dyDescent="0.3">
      <c r="A24">
        <v>3</v>
      </c>
      <c r="B24" s="2">
        <v>46030</v>
      </c>
      <c r="C24">
        <v>149</v>
      </c>
      <c r="D24">
        <v>1</v>
      </c>
    </row>
    <row r="25" spans="1:4" x14ac:dyDescent="0.3">
      <c r="A25">
        <v>3</v>
      </c>
      <c r="B25" s="2">
        <v>46035</v>
      </c>
      <c r="C25">
        <v>198</v>
      </c>
      <c r="D25">
        <v>2</v>
      </c>
    </row>
    <row r="26" spans="1:4" x14ac:dyDescent="0.3">
      <c r="A26">
        <v>3</v>
      </c>
      <c r="B26" s="2">
        <v>46038</v>
      </c>
      <c r="C26">
        <v>4999</v>
      </c>
      <c r="D26">
        <v>1</v>
      </c>
    </row>
    <row r="27" spans="1:4" x14ac:dyDescent="0.3">
      <c r="A27">
        <v>3</v>
      </c>
      <c r="B27" s="2">
        <v>46042</v>
      </c>
      <c r="C27">
        <v>99</v>
      </c>
      <c r="D27">
        <v>1</v>
      </c>
    </row>
    <row r="28" spans="1:4" x14ac:dyDescent="0.3">
      <c r="A28">
        <v>3</v>
      </c>
      <c r="B28" s="2">
        <v>46044</v>
      </c>
      <c r="C28">
        <v>499</v>
      </c>
      <c r="D28">
        <v>1</v>
      </c>
    </row>
    <row r="29" spans="1:4" x14ac:dyDescent="0.3">
      <c r="A29">
        <v>3</v>
      </c>
      <c r="B29" s="2">
        <v>46045</v>
      </c>
      <c r="C29">
        <v>49</v>
      </c>
      <c r="D29">
        <v>1</v>
      </c>
    </row>
    <row r="30" spans="1:4" x14ac:dyDescent="0.3">
      <c r="A30">
        <v>3</v>
      </c>
      <c r="B30" s="2">
        <v>46048</v>
      </c>
      <c r="C30">
        <v>149</v>
      </c>
      <c r="D30">
        <v>1</v>
      </c>
    </row>
    <row r="31" spans="1:4" x14ac:dyDescent="0.3">
      <c r="A31">
        <v>3</v>
      </c>
      <c r="B31" s="2">
        <v>46051</v>
      </c>
      <c r="C31">
        <v>49</v>
      </c>
      <c r="D31">
        <v>1</v>
      </c>
    </row>
    <row r="32" spans="1:4" x14ac:dyDescent="0.3">
      <c r="A32">
        <v>3</v>
      </c>
      <c r="B32" s="2">
        <v>46052</v>
      </c>
      <c r="C32">
        <v>49</v>
      </c>
      <c r="D32">
        <v>1</v>
      </c>
    </row>
    <row r="33" spans="1:4" x14ac:dyDescent="0.3">
      <c r="A33">
        <v>4</v>
      </c>
      <c r="B33" s="2">
        <v>46024</v>
      </c>
      <c r="C33">
        <v>149</v>
      </c>
      <c r="D33">
        <v>1</v>
      </c>
    </row>
    <row r="34" spans="1:4" x14ac:dyDescent="0.3">
      <c r="A34">
        <v>4</v>
      </c>
      <c r="B34" s="2">
        <v>46034</v>
      </c>
      <c r="C34">
        <v>49</v>
      </c>
      <c r="D34">
        <v>1</v>
      </c>
    </row>
    <row r="35" spans="1:4" x14ac:dyDescent="0.3">
      <c r="A35">
        <v>4</v>
      </c>
      <c r="B35" s="2">
        <v>46035</v>
      </c>
      <c r="C35">
        <v>948</v>
      </c>
      <c r="D35">
        <v>2</v>
      </c>
    </row>
    <row r="36" spans="1:4" x14ac:dyDescent="0.3">
      <c r="A36">
        <v>4</v>
      </c>
      <c r="B36" s="2">
        <v>46038</v>
      </c>
      <c r="C36">
        <v>799</v>
      </c>
      <c r="D36">
        <v>1</v>
      </c>
    </row>
    <row r="37" spans="1:4" x14ac:dyDescent="0.3">
      <c r="A37">
        <v>4</v>
      </c>
      <c r="B37" s="2">
        <v>46039</v>
      </c>
      <c r="C37">
        <v>1499</v>
      </c>
      <c r="D37">
        <v>1</v>
      </c>
    </row>
    <row r="38" spans="1:4" x14ac:dyDescent="0.3">
      <c r="A38">
        <v>4</v>
      </c>
      <c r="B38" s="2">
        <v>46046</v>
      </c>
      <c r="C38">
        <v>1499</v>
      </c>
      <c r="D38">
        <v>1</v>
      </c>
    </row>
    <row r="39" spans="1:4" x14ac:dyDescent="0.3">
      <c r="A39">
        <v>4</v>
      </c>
      <c r="B39" s="2">
        <v>46047</v>
      </c>
      <c r="C39">
        <v>1998</v>
      </c>
      <c r="D39">
        <v>2</v>
      </c>
    </row>
    <row r="40" spans="1:4" x14ac:dyDescent="0.3">
      <c r="A40">
        <v>5</v>
      </c>
      <c r="B40" s="2">
        <v>46023</v>
      </c>
      <c r="C40">
        <v>499</v>
      </c>
      <c r="D40">
        <v>1</v>
      </c>
    </row>
    <row r="41" spans="1:4" x14ac:dyDescent="0.3">
      <c r="A41">
        <v>5</v>
      </c>
      <c r="B41" s="2">
        <v>46025</v>
      </c>
      <c r="C41">
        <v>499</v>
      </c>
      <c r="D41">
        <v>1</v>
      </c>
    </row>
    <row r="42" spans="1:4" x14ac:dyDescent="0.3">
      <c r="A42">
        <v>5</v>
      </c>
      <c r="B42" s="2">
        <v>46031</v>
      </c>
      <c r="C42">
        <v>348</v>
      </c>
      <c r="D42">
        <v>2</v>
      </c>
    </row>
    <row r="43" spans="1:4" x14ac:dyDescent="0.3">
      <c r="A43">
        <v>5</v>
      </c>
      <c r="B43" s="2">
        <v>46032</v>
      </c>
      <c r="C43">
        <v>99</v>
      </c>
      <c r="D43">
        <v>1</v>
      </c>
    </row>
    <row r="44" spans="1:4" x14ac:dyDescent="0.3">
      <c r="A44">
        <v>5</v>
      </c>
      <c r="B44" s="2">
        <v>46037</v>
      </c>
      <c r="C44">
        <v>548</v>
      </c>
      <c r="D44">
        <v>2</v>
      </c>
    </row>
    <row r="45" spans="1:4" x14ac:dyDescent="0.3">
      <c r="A45">
        <v>5</v>
      </c>
      <c r="B45" s="2">
        <v>46039</v>
      </c>
      <c r="C45">
        <v>499</v>
      </c>
      <c r="D45">
        <v>1</v>
      </c>
    </row>
    <row r="46" spans="1:4" x14ac:dyDescent="0.3">
      <c r="A46">
        <v>5</v>
      </c>
      <c r="B46" s="2">
        <v>46040</v>
      </c>
      <c r="C46">
        <v>299</v>
      </c>
      <c r="D46">
        <v>1</v>
      </c>
    </row>
    <row r="47" spans="1:4" x14ac:dyDescent="0.3">
      <c r="A47">
        <v>5</v>
      </c>
      <c r="B47" s="2">
        <v>46041</v>
      </c>
      <c r="C47">
        <v>49</v>
      </c>
      <c r="D47">
        <v>1</v>
      </c>
    </row>
    <row r="48" spans="1:4" x14ac:dyDescent="0.3">
      <c r="A48">
        <v>5</v>
      </c>
      <c r="B48" s="2">
        <v>46052</v>
      </c>
      <c r="C48">
        <v>2999</v>
      </c>
      <c r="D48">
        <v>1</v>
      </c>
    </row>
    <row r="49" spans="1:4" x14ac:dyDescent="0.3">
      <c r="A49">
        <v>6</v>
      </c>
      <c r="B49" s="2">
        <v>46023</v>
      </c>
      <c r="C49">
        <v>49</v>
      </c>
      <c r="D49">
        <v>1</v>
      </c>
    </row>
    <row r="50" spans="1:4" x14ac:dyDescent="0.3">
      <c r="A50">
        <v>6</v>
      </c>
      <c r="B50" s="2">
        <v>46025</v>
      </c>
      <c r="C50">
        <v>799</v>
      </c>
      <c r="D50">
        <v>1</v>
      </c>
    </row>
    <row r="51" spans="1:4" x14ac:dyDescent="0.3">
      <c r="A51">
        <v>6</v>
      </c>
      <c r="B51" s="2">
        <v>46027</v>
      </c>
      <c r="C51">
        <v>1499</v>
      </c>
      <c r="D51">
        <v>1</v>
      </c>
    </row>
    <row r="52" spans="1:4" x14ac:dyDescent="0.3">
      <c r="A52">
        <v>6</v>
      </c>
      <c r="B52" s="2">
        <v>46030</v>
      </c>
      <c r="C52">
        <v>149</v>
      </c>
      <c r="D52">
        <v>1</v>
      </c>
    </row>
    <row r="53" spans="1:4" x14ac:dyDescent="0.3">
      <c r="A53">
        <v>6</v>
      </c>
      <c r="B53" s="2">
        <v>46031</v>
      </c>
      <c r="C53">
        <v>99</v>
      </c>
      <c r="D53">
        <v>1</v>
      </c>
    </row>
    <row r="54" spans="1:4" x14ac:dyDescent="0.3">
      <c r="A54">
        <v>6</v>
      </c>
      <c r="B54" s="2">
        <v>46033</v>
      </c>
      <c r="C54">
        <v>1499</v>
      </c>
      <c r="D54">
        <v>1</v>
      </c>
    </row>
    <row r="55" spans="1:4" x14ac:dyDescent="0.3">
      <c r="A55">
        <v>6</v>
      </c>
      <c r="B55" s="2">
        <v>46035</v>
      </c>
      <c r="C55">
        <v>1499</v>
      </c>
      <c r="D55">
        <v>1</v>
      </c>
    </row>
    <row r="56" spans="1:4" x14ac:dyDescent="0.3">
      <c r="A56">
        <v>6</v>
      </c>
      <c r="B56" s="2">
        <v>46037</v>
      </c>
      <c r="C56">
        <v>49</v>
      </c>
      <c r="D56">
        <v>1</v>
      </c>
    </row>
    <row r="57" spans="1:4" x14ac:dyDescent="0.3">
      <c r="A57">
        <v>6</v>
      </c>
      <c r="B57" s="2">
        <v>46039</v>
      </c>
      <c r="C57">
        <v>799</v>
      </c>
      <c r="D57">
        <v>1</v>
      </c>
    </row>
    <row r="58" spans="1:4" x14ac:dyDescent="0.3">
      <c r="A58">
        <v>6</v>
      </c>
      <c r="B58" s="2">
        <v>46041</v>
      </c>
      <c r="C58">
        <v>49</v>
      </c>
      <c r="D58">
        <v>1</v>
      </c>
    </row>
    <row r="59" spans="1:4" x14ac:dyDescent="0.3">
      <c r="A59">
        <v>6</v>
      </c>
      <c r="B59" s="2">
        <v>46043</v>
      </c>
      <c r="C59">
        <v>49</v>
      </c>
      <c r="D59">
        <v>1</v>
      </c>
    </row>
    <row r="60" spans="1:4" x14ac:dyDescent="0.3">
      <c r="A60">
        <v>6</v>
      </c>
      <c r="B60" s="2">
        <v>46048</v>
      </c>
      <c r="C60">
        <v>897</v>
      </c>
      <c r="D60">
        <v>3</v>
      </c>
    </row>
    <row r="61" spans="1:4" x14ac:dyDescent="0.3">
      <c r="A61">
        <v>7</v>
      </c>
      <c r="B61" s="2">
        <v>46024</v>
      </c>
      <c r="C61">
        <v>3797</v>
      </c>
      <c r="D61">
        <v>3</v>
      </c>
    </row>
    <row r="62" spans="1:4" x14ac:dyDescent="0.3">
      <c r="A62">
        <v>7</v>
      </c>
      <c r="B62" s="2">
        <v>46025</v>
      </c>
      <c r="C62">
        <v>149</v>
      </c>
      <c r="D62">
        <v>1</v>
      </c>
    </row>
    <row r="63" spans="1:4" x14ac:dyDescent="0.3">
      <c r="A63">
        <v>7</v>
      </c>
      <c r="B63" s="2">
        <v>46027</v>
      </c>
      <c r="C63">
        <v>4498</v>
      </c>
      <c r="D63">
        <v>2</v>
      </c>
    </row>
    <row r="64" spans="1:4" x14ac:dyDescent="0.3">
      <c r="A64">
        <v>7</v>
      </c>
      <c r="B64" s="2">
        <v>46030</v>
      </c>
      <c r="C64">
        <v>299</v>
      </c>
      <c r="D64">
        <v>1</v>
      </c>
    </row>
    <row r="65" spans="1:4" x14ac:dyDescent="0.3">
      <c r="A65">
        <v>7</v>
      </c>
      <c r="B65" s="2">
        <v>46032</v>
      </c>
      <c r="C65">
        <v>499</v>
      </c>
      <c r="D65">
        <v>1</v>
      </c>
    </row>
    <row r="66" spans="1:4" x14ac:dyDescent="0.3">
      <c r="A66">
        <v>7</v>
      </c>
      <c r="B66" s="2">
        <v>46037</v>
      </c>
      <c r="C66">
        <v>1648</v>
      </c>
      <c r="D66">
        <v>2</v>
      </c>
    </row>
    <row r="67" spans="1:4" x14ac:dyDescent="0.3">
      <c r="A67">
        <v>7</v>
      </c>
      <c r="B67" s="2">
        <v>46039</v>
      </c>
      <c r="C67">
        <v>149</v>
      </c>
      <c r="D67">
        <v>1</v>
      </c>
    </row>
    <row r="68" spans="1:4" x14ac:dyDescent="0.3">
      <c r="A68">
        <v>7</v>
      </c>
      <c r="B68" s="2">
        <v>46043</v>
      </c>
      <c r="C68">
        <v>1499</v>
      </c>
      <c r="D68">
        <v>1</v>
      </c>
    </row>
    <row r="69" spans="1:4" x14ac:dyDescent="0.3">
      <c r="A69">
        <v>7</v>
      </c>
      <c r="B69" s="2">
        <v>46046</v>
      </c>
      <c r="C69">
        <v>1298</v>
      </c>
      <c r="D69">
        <v>2</v>
      </c>
    </row>
    <row r="70" spans="1:4" x14ac:dyDescent="0.3">
      <c r="A70">
        <v>7</v>
      </c>
      <c r="B70" s="2">
        <v>46047</v>
      </c>
      <c r="C70">
        <v>99</v>
      </c>
      <c r="D70">
        <v>1</v>
      </c>
    </row>
    <row r="71" spans="1:4" x14ac:dyDescent="0.3">
      <c r="A71">
        <v>7</v>
      </c>
      <c r="B71" s="2">
        <v>46052</v>
      </c>
      <c r="C71">
        <v>1999</v>
      </c>
      <c r="D71">
        <v>1</v>
      </c>
    </row>
    <row r="72" spans="1:4" x14ac:dyDescent="0.3">
      <c r="A72">
        <v>8</v>
      </c>
      <c r="B72" s="2">
        <v>46024</v>
      </c>
      <c r="C72">
        <v>299</v>
      </c>
      <c r="D72">
        <v>1</v>
      </c>
    </row>
    <row r="73" spans="1:4" x14ac:dyDescent="0.3">
      <c r="A73">
        <v>8</v>
      </c>
      <c r="B73" s="2">
        <v>46025</v>
      </c>
      <c r="C73">
        <v>299</v>
      </c>
      <c r="D73">
        <v>1</v>
      </c>
    </row>
    <row r="74" spans="1:4" x14ac:dyDescent="0.3">
      <c r="A74">
        <v>8</v>
      </c>
      <c r="B74" s="2">
        <v>46028</v>
      </c>
      <c r="C74">
        <v>49</v>
      </c>
      <c r="D74">
        <v>1</v>
      </c>
    </row>
    <row r="75" spans="1:4" x14ac:dyDescent="0.3">
      <c r="A75">
        <v>8</v>
      </c>
      <c r="B75" s="2">
        <v>46030</v>
      </c>
      <c r="C75">
        <v>99</v>
      </c>
      <c r="D75">
        <v>1</v>
      </c>
    </row>
    <row r="76" spans="1:4" x14ac:dyDescent="0.3">
      <c r="A76">
        <v>8</v>
      </c>
      <c r="B76" s="2">
        <v>46033</v>
      </c>
      <c r="C76">
        <v>149</v>
      </c>
      <c r="D76">
        <v>1</v>
      </c>
    </row>
    <row r="77" spans="1:4" x14ac:dyDescent="0.3">
      <c r="A77">
        <v>8</v>
      </c>
      <c r="B77" s="2">
        <v>46034</v>
      </c>
      <c r="C77">
        <v>398</v>
      </c>
      <c r="D77">
        <v>2</v>
      </c>
    </row>
    <row r="78" spans="1:4" x14ac:dyDescent="0.3">
      <c r="A78">
        <v>8</v>
      </c>
      <c r="B78" s="2">
        <v>46038</v>
      </c>
      <c r="C78">
        <v>2999</v>
      </c>
      <c r="D78">
        <v>1</v>
      </c>
    </row>
    <row r="79" spans="1:4" x14ac:dyDescent="0.3">
      <c r="A79">
        <v>8</v>
      </c>
      <c r="B79" s="2">
        <v>46039</v>
      </c>
      <c r="C79">
        <v>348</v>
      </c>
      <c r="D79">
        <v>2</v>
      </c>
    </row>
    <row r="80" spans="1:4" x14ac:dyDescent="0.3">
      <c r="A80">
        <v>8</v>
      </c>
      <c r="B80" s="2">
        <v>46040</v>
      </c>
      <c r="C80">
        <v>499</v>
      </c>
      <c r="D80">
        <v>1</v>
      </c>
    </row>
    <row r="81" spans="1:4" x14ac:dyDescent="0.3">
      <c r="A81">
        <v>8</v>
      </c>
      <c r="B81" s="2">
        <v>46041</v>
      </c>
      <c r="C81">
        <v>99</v>
      </c>
      <c r="D81">
        <v>1</v>
      </c>
    </row>
    <row r="82" spans="1:4" x14ac:dyDescent="0.3">
      <c r="A82">
        <v>8</v>
      </c>
      <c r="B82" s="2">
        <v>46048</v>
      </c>
      <c r="C82">
        <v>598</v>
      </c>
      <c r="D82">
        <v>2</v>
      </c>
    </row>
    <row r="83" spans="1:4" x14ac:dyDescent="0.3">
      <c r="A83">
        <v>8</v>
      </c>
      <c r="B83" s="2">
        <v>46049</v>
      </c>
      <c r="C83">
        <v>1499</v>
      </c>
      <c r="D83">
        <v>1</v>
      </c>
    </row>
    <row r="84" spans="1:4" x14ac:dyDescent="0.3">
      <c r="A84">
        <v>8</v>
      </c>
      <c r="B84" s="2">
        <v>46052</v>
      </c>
      <c r="C84">
        <v>99</v>
      </c>
      <c r="D84">
        <v>1</v>
      </c>
    </row>
    <row r="85" spans="1:4" x14ac:dyDescent="0.3">
      <c r="A85">
        <v>9</v>
      </c>
      <c r="B85" s="2">
        <v>46023</v>
      </c>
      <c r="C85">
        <v>499</v>
      </c>
      <c r="D85">
        <v>1</v>
      </c>
    </row>
    <row r="86" spans="1:4" x14ac:dyDescent="0.3">
      <c r="A86">
        <v>9</v>
      </c>
      <c r="B86" s="2">
        <v>46026</v>
      </c>
      <c r="C86">
        <v>499</v>
      </c>
      <c r="D86">
        <v>1</v>
      </c>
    </row>
    <row r="87" spans="1:4" x14ac:dyDescent="0.3">
      <c r="A87">
        <v>9</v>
      </c>
      <c r="B87" s="2">
        <v>46027</v>
      </c>
      <c r="C87">
        <v>149</v>
      </c>
      <c r="D87">
        <v>1</v>
      </c>
    </row>
    <row r="88" spans="1:4" x14ac:dyDescent="0.3">
      <c r="A88">
        <v>9</v>
      </c>
      <c r="B88" s="2">
        <v>46028</v>
      </c>
      <c r="C88">
        <v>149</v>
      </c>
      <c r="D88">
        <v>1</v>
      </c>
    </row>
    <row r="89" spans="1:4" x14ac:dyDescent="0.3">
      <c r="A89">
        <v>9</v>
      </c>
      <c r="B89" s="2">
        <v>46031</v>
      </c>
      <c r="C89">
        <v>99</v>
      </c>
      <c r="D89">
        <v>1</v>
      </c>
    </row>
    <row r="90" spans="1:4" x14ac:dyDescent="0.3">
      <c r="A90">
        <v>9</v>
      </c>
      <c r="B90" s="2">
        <v>46032</v>
      </c>
      <c r="C90">
        <v>49</v>
      </c>
      <c r="D90">
        <v>1</v>
      </c>
    </row>
    <row r="91" spans="1:4" x14ac:dyDescent="0.3">
      <c r="A91">
        <v>9</v>
      </c>
      <c r="B91" s="2">
        <v>46034</v>
      </c>
      <c r="C91">
        <v>299</v>
      </c>
      <c r="D91">
        <v>1</v>
      </c>
    </row>
    <row r="92" spans="1:4" x14ac:dyDescent="0.3">
      <c r="A92">
        <v>9</v>
      </c>
      <c r="B92" s="2">
        <v>46037</v>
      </c>
      <c r="C92">
        <v>148</v>
      </c>
      <c r="D92">
        <v>2</v>
      </c>
    </row>
    <row r="93" spans="1:4" x14ac:dyDescent="0.3">
      <c r="A93">
        <v>9</v>
      </c>
      <c r="B93" s="2">
        <v>46039</v>
      </c>
      <c r="C93">
        <v>248</v>
      </c>
      <c r="D93">
        <v>2</v>
      </c>
    </row>
    <row r="94" spans="1:4" x14ac:dyDescent="0.3">
      <c r="A94">
        <v>9</v>
      </c>
      <c r="B94" s="2">
        <v>46040</v>
      </c>
      <c r="C94">
        <v>299</v>
      </c>
      <c r="D94">
        <v>1</v>
      </c>
    </row>
    <row r="95" spans="1:4" x14ac:dyDescent="0.3">
      <c r="A95">
        <v>9</v>
      </c>
      <c r="B95" s="2">
        <v>46041</v>
      </c>
      <c r="C95">
        <v>299</v>
      </c>
      <c r="D95">
        <v>1</v>
      </c>
    </row>
    <row r="96" spans="1:4" x14ac:dyDescent="0.3">
      <c r="A96">
        <v>9</v>
      </c>
      <c r="B96" s="2">
        <v>46044</v>
      </c>
      <c r="C96">
        <v>1298</v>
      </c>
      <c r="D96">
        <v>2</v>
      </c>
    </row>
    <row r="97" spans="1:4" x14ac:dyDescent="0.3">
      <c r="A97">
        <v>9</v>
      </c>
      <c r="B97" s="2">
        <v>46045</v>
      </c>
      <c r="C97">
        <v>898</v>
      </c>
      <c r="D97">
        <v>2</v>
      </c>
    </row>
    <row r="98" spans="1:4" x14ac:dyDescent="0.3">
      <c r="A98">
        <v>9</v>
      </c>
      <c r="B98" s="2">
        <v>46051</v>
      </c>
      <c r="C98">
        <v>49</v>
      </c>
      <c r="D98">
        <v>1</v>
      </c>
    </row>
    <row r="99" spans="1:4" x14ac:dyDescent="0.3">
      <c r="A99">
        <v>10</v>
      </c>
      <c r="B99" s="2">
        <v>46027</v>
      </c>
      <c r="C99">
        <v>49</v>
      </c>
      <c r="D99">
        <v>1</v>
      </c>
    </row>
    <row r="100" spans="1:4" x14ac:dyDescent="0.3">
      <c r="A100">
        <v>10</v>
      </c>
      <c r="B100" s="2">
        <v>46030</v>
      </c>
      <c r="C100">
        <v>799</v>
      </c>
      <c r="D100">
        <v>1</v>
      </c>
    </row>
    <row r="101" spans="1:4" x14ac:dyDescent="0.3">
      <c r="A101">
        <v>10</v>
      </c>
      <c r="B101" s="2">
        <v>46033</v>
      </c>
      <c r="C101">
        <v>98</v>
      </c>
      <c r="D101">
        <v>2</v>
      </c>
    </row>
    <row r="102" spans="1:4" x14ac:dyDescent="0.3">
      <c r="A102">
        <v>10</v>
      </c>
      <c r="B102" s="2">
        <v>46034</v>
      </c>
      <c r="C102">
        <v>399</v>
      </c>
      <c r="D102">
        <v>1</v>
      </c>
    </row>
    <row r="103" spans="1:4" x14ac:dyDescent="0.3">
      <c r="A103">
        <v>10</v>
      </c>
      <c r="B103" s="2">
        <v>46035</v>
      </c>
      <c r="C103">
        <v>1499</v>
      </c>
      <c r="D103">
        <v>1</v>
      </c>
    </row>
    <row r="104" spans="1:4" x14ac:dyDescent="0.3">
      <c r="A104">
        <v>10</v>
      </c>
      <c r="B104" s="2">
        <v>46036</v>
      </c>
      <c r="C104">
        <v>499</v>
      </c>
      <c r="D104">
        <v>1</v>
      </c>
    </row>
    <row r="105" spans="1:4" x14ac:dyDescent="0.3">
      <c r="A105">
        <v>10</v>
      </c>
      <c r="B105" s="2">
        <v>46037</v>
      </c>
      <c r="C105">
        <v>2999</v>
      </c>
      <c r="D105">
        <v>1</v>
      </c>
    </row>
    <row r="106" spans="1:4" x14ac:dyDescent="0.3">
      <c r="A106">
        <v>10</v>
      </c>
      <c r="B106" s="2">
        <v>46038</v>
      </c>
      <c r="C106">
        <v>49</v>
      </c>
      <c r="D106">
        <v>1</v>
      </c>
    </row>
    <row r="107" spans="1:4" x14ac:dyDescent="0.3">
      <c r="A107">
        <v>10</v>
      </c>
      <c r="B107" s="2">
        <v>46041</v>
      </c>
      <c r="C107">
        <v>499</v>
      </c>
      <c r="D107">
        <v>1</v>
      </c>
    </row>
    <row r="108" spans="1:4" x14ac:dyDescent="0.3">
      <c r="A108">
        <v>10</v>
      </c>
      <c r="B108" s="2">
        <v>46042</v>
      </c>
      <c r="C108">
        <v>4999</v>
      </c>
      <c r="D108">
        <v>1</v>
      </c>
    </row>
    <row r="109" spans="1:4" x14ac:dyDescent="0.3">
      <c r="A109">
        <v>10</v>
      </c>
      <c r="B109" s="2">
        <v>46043</v>
      </c>
      <c r="C109">
        <v>398</v>
      </c>
      <c r="D109">
        <v>2</v>
      </c>
    </row>
    <row r="110" spans="1:4" x14ac:dyDescent="0.3">
      <c r="A110">
        <v>10</v>
      </c>
      <c r="B110" s="2">
        <v>46051</v>
      </c>
      <c r="C110">
        <v>799</v>
      </c>
      <c r="D110">
        <v>1</v>
      </c>
    </row>
    <row r="111" spans="1:4" x14ac:dyDescent="0.3">
      <c r="A111">
        <v>11</v>
      </c>
      <c r="B111" s="2">
        <v>46026</v>
      </c>
      <c r="C111">
        <v>1499</v>
      </c>
      <c r="D111">
        <v>1</v>
      </c>
    </row>
    <row r="112" spans="1:4" x14ac:dyDescent="0.3">
      <c r="A112">
        <v>11</v>
      </c>
      <c r="B112" s="2">
        <v>46028</v>
      </c>
      <c r="C112">
        <v>1499</v>
      </c>
      <c r="D112">
        <v>1</v>
      </c>
    </row>
    <row r="113" spans="1:4" x14ac:dyDescent="0.3">
      <c r="A113">
        <v>11</v>
      </c>
      <c r="B113" s="2">
        <v>46029</v>
      </c>
      <c r="C113">
        <v>49</v>
      </c>
      <c r="D113">
        <v>1</v>
      </c>
    </row>
    <row r="114" spans="1:4" x14ac:dyDescent="0.3">
      <c r="A114">
        <v>11</v>
      </c>
      <c r="B114" s="2">
        <v>46033</v>
      </c>
      <c r="C114">
        <v>4999</v>
      </c>
      <c r="D114">
        <v>1</v>
      </c>
    </row>
    <row r="115" spans="1:4" x14ac:dyDescent="0.3">
      <c r="A115">
        <v>11</v>
      </c>
      <c r="B115" s="2">
        <v>46040</v>
      </c>
      <c r="C115">
        <v>499</v>
      </c>
      <c r="D115">
        <v>1</v>
      </c>
    </row>
    <row r="116" spans="1:4" x14ac:dyDescent="0.3">
      <c r="A116">
        <v>11</v>
      </c>
      <c r="B116" s="2">
        <v>46042</v>
      </c>
      <c r="C116">
        <v>299</v>
      </c>
      <c r="D116">
        <v>1</v>
      </c>
    </row>
    <row r="117" spans="1:4" x14ac:dyDescent="0.3">
      <c r="A117">
        <v>11</v>
      </c>
      <c r="B117" s="2">
        <v>46043</v>
      </c>
      <c r="C117">
        <v>149</v>
      </c>
      <c r="D117">
        <v>1</v>
      </c>
    </row>
    <row r="118" spans="1:4" x14ac:dyDescent="0.3">
      <c r="A118">
        <v>11</v>
      </c>
      <c r="B118" s="2">
        <v>46046</v>
      </c>
      <c r="C118">
        <v>1798</v>
      </c>
      <c r="D118">
        <v>2</v>
      </c>
    </row>
    <row r="119" spans="1:4" x14ac:dyDescent="0.3">
      <c r="A119">
        <v>11</v>
      </c>
      <c r="B119" s="2">
        <v>46051</v>
      </c>
      <c r="C119">
        <v>149</v>
      </c>
      <c r="D119">
        <v>1</v>
      </c>
    </row>
    <row r="120" spans="1:4" x14ac:dyDescent="0.3">
      <c r="A120">
        <v>12</v>
      </c>
      <c r="B120" s="2">
        <v>46023</v>
      </c>
      <c r="C120">
        <v>548</v>
      </c>
      <c r="D120">
        <v>2</v>
      </c>
    </row>
    <row r="121" spans="1:4" x14ac:dyDescent="0.3">
      <c r="A121">
        <v>12</v>
      </c>
      <c r="B121" s="2">
        <v>46031</v>
      </c>
      <c r="C121">
        <v>799</v>
      </c>
      <c r="D121">
        <v>1</v>
      </c>
    </row>
    <row r="122" spans="1:4" x14ac:dyDescent="0.3">
      <c r="A122">
        <v>12</v>
      </c>
      <c r="B122" s="2">
        <v>46034</v>
      </c>
      <c r="C122">
        <v>1998</v>
      </c>
      <c r="D122">
        <v>2</v>
      </c>
    </row>
    <row r="123" spans="1:4" x14ac:dyDescent="0.3">
      <c r="A123">
        <v>12</v>
      </c>
      <c r="B123" s="2">
        <v>46036</v>
      </c>
      <c r="C123">
        <v>548</v>
      </c>
      <c r="D123">
        <v>2</v>
      </c>
    </row>
    <row r="124" spans="1:4" x14ac:dyDescent="0.3">
      <c r="A124">
        <v>12</v>
      </c>
      <c r="B124" s="2">
        <v>46040</v>
      </c>
      <c r="C124">
        <v>799</v>
      </c>
      <c r="D124">
        <v>1</v>
      </c>
    </row>
    <row r="125" spans="1:4" x14ac:dyDescent="0.3">
      <c r="A125">
        <v>12</v>
      </c>
      <c r="B125" s="2">
        <v>46044</v>
      </c>
      <c r="C125">
        <v>99</v>
      </c>
      <c r="D125">
        <v>1</v>
      </c>
    </row>
    <row r="126" spans="1:4" x14ac:dyDescent="0.3">
      <c r="A126">
        <v>12</v>
      </c>
      <c r="B126" s="2">
        <v>46045</v>
      </c>
      <c r="C126">
        <v>448</v>
      </c>
      <c r="D126">
        <v>2</v>
      </c>
    </row>
    <row r="127" spans="1:4" x14ac:dyDescent="0.3">
      <c r="A127">
        <v>12</v>
      </c>
      <c r="B127" s="2">
        <v>46049</v>
      </c>
      <c r="C127">
        <v>149</v>
      </c>
      <c r="D127">
        <v>1</v>
      </c>
    </row>
    <row r="128" spans="1:4" x14ac:dyDescent="0.3">
      <c r="A128">
        <v>12</v>
      </c>
      <c r="B128" s="2">
        <v>46052</v>
      </c>
      <c r="C128">
        <v>4999</v>
      </c>
      <c r="D128">
        <v>1</v>
      </c>
    </row>
    <row r="129" spans="1:4" x14ac:dyDescent="0.3">
      <c r="A129">
        <v>13</v>
      </c>
      <c r="B129" s="2">
        <v>46030</v>
      </c>
      <c r="C129">
        <v>149</v>
      </c>
      <c r="D129">
        <v>1</v>
      </c>
    </row>
    <row r="130" spans="1:4" x14ac:dyDescent="0.3">
      <c r="A130">
        <v>13</v>
      </c>
      <c r="B130" s="2">
        <v>46031</v>
      </c>
      <c r="C130">
        <v>198</v>
      </c>
      <c r="D130">
        <v>2</v>
      </c>
    </row>
    <row r="131" spans="1:4" x14ac:dyDescent="0.3">
      <c r="A131">
        <v>13</v>
      </c>
      <c r="B131" s="2">
        <v>46032</v>
      </c>
      <c r="C131">
        <v>99</v>
      </c>
      <c r="D131">
        <v>1</v>
      </c>
    </row>
    <row r="132" spans="1:4" x14ac:dyDescent="0.3">
      <c r="A132">
        <v>13</v>
      </c>
      <c r="B132" s="2">
        <v>46036</v>
      </c>
      <c r="C132">
        <v>1499</v>
      </c>
      <c r="D132">
        <v>1</v>
      </c>
    </row>
    <row r="133" spans="1:4" x14ac:dyDescent="0.3">
      <c r="A133">
        <v>13</v>
      </c>
      <c r="B133" s="2">
        <v>46037</v>
      </c>
      <c r="C133">
        <v>49</v>
      </c>
      <c r="D133">
        <v>1</v>
      </c>
    </row>
    <row r="134" spans="1:4" x14ac:dyDescent="0.3">
      <c r="A134">
        <v>13</v>
      </c>
      <c r="B134" s="2">
        <v>46042</v>
      </c>
      <c r="C134">
        <v>4999</v>
      </c>
      <c r="D134">
        <v>1</v>
      </c>
    </row>
    <row r="135" spans="1:4" x14ac:dyDescent="0.3">
      <c r="A135">
        <v>13</v>
      </c>
      <c r="B135" s="2">
        <v>46043</v>
      </c>
      <c r="C135">
        <v>4999</v>
      </c>
      <c r="D135">
        <v>1</v>
      </c>
    </row>
    <row r="136" spans="1:4" x14ac:dyDescent="0.3">
      <c r="A136">
        <v>13</v>
      </c>
      <c r="B136" s="2">
        <v>46046</v>
      </c>
      <c r="C136">
        <v>2999</v>
      </c>
      <c r="D136">
        <v>1</v>
      </c>
    </row>
    <row r="137" spans="1:4" x14ac:dyDescent="0.3">
      <c r="A137">
        <v>13</v>
      </c>
      <c r="B137" s="2">
        <v>46048</v>
      </c>
      <c r="C137">
        <v>299</v>
      </c>
      <c r="D137">
        <v>1</v>
      </c>
    </row>
    <row r="138" spans="1:4" x14ac:dyDescent="0.3">
      <c r="A138">
        <v>13</v>
      </c>
      <c r="B138" s="2">
        <v>46049</v>
      </c>
      <c r="C138">
        <v>99</v>
      </c>
      <c r="D138">
        <v>1</v>
      </c>
    </row>
    <row r="139" spans="1:4" x14ac:dyDescent="0.3">
      <c r="A139">
        <v>13</v>
      </c>
      <c r="B139" s="2">
        <v>46050</v>
      </c>
      <c r="C139">
        <v>2999</v>
      </c>
      <c r="D139">
        <v>1</v>
      </c>
    </row>
    <row r="140" spans="1:4" x14ac:dyDescent="0.3">
      <c r="A140">
        <v>14</v>
      </c>
      <c r="B140" s="2">
        <v>46023</v>
      </c>
      <c r="C140">
        <v>299</v>
      </c>
      <c r="D140">
        <v>1</v>
      </c>
    </row>
    <row r="141" spans="1:4" x14ac:dyDescent="0.3">
      <c r="A141">
        <v>14</v>
      </c>
      <c r="B141" s="2">
        <v>46024</v>
      </c>
      <c r="C141">
        <v>1499</v>
      </c>
      <c r="D141">
        <v>1</v>
      </c>
    </row>
    <row r="142" spans="1:4" x14ac:dyDescent="0.3">
      <c r="A142">
        <v>14</v>
      </c>
      <c r="B142" s="2">
        <v>46025</v>
      </c>
      <c r="C142">
        <v>149</v>
      </c>
      <c r="D142">
        <v>1</v>
      </c>
    </row>
    <row r="143" spans="1:4" x14ac:dyDescent="0.3">
      <c r="A143">
        <v>14</v>
      </c>
      <c r="B143" s="2">
        <v>46026</v>
      </c>
      <c r="C143">
        <v>99</v>
      </c>
      <c r="D143">
        <v>1</v>
      </c>
    </row>
    <row r="144" spans="1:4" x14ac:dyDescent="0.3">
      <c r="A144">
        <v>14</v>
      </c>
      <c r="B144" s="2">
        <v>46027</v>
      </c>
      <c r="C144">
        <v>1499</v>
      </c>
      <c r="D144">
        <v>1</v>
      </c>
    </row>
    <row r="145" spans="1:4" x14ac:dyDescent="0.3">
      <c r="A145">
        <v>14</v>
      </c>
      <c r="B145" s="2">
        <v>46029</v>
      </c>
      <c r="C145">
        <v>49</v>
      </c>
      <c r="D145">
        <v>1</v>
      </c>
    </row>
    <row r="146" spans="1:4" x14ac:dyDescent="0.3">
      <c r="A146">
        <v>14</v>
      </c>
      <c r="B146" s="2">
        <v>46030</v>
      </c>
      <c r="C146">
        <v>799</v>
      </c>
      <c r="D146">
        <v>1</v>
      </c>
    </row>
    <row r="147" spans="1:4" x14ac:dyDescent="0.3">
      <c r="A147">
        <v>14</v>
      </c>
      <c r="B147" s="2">
        <v>46040</v>
      </c>
      <c r="C147">
        <v>99</v>
      </c>
      <c r="D147">
        <v>1</v>
      </c>
    </row>
    <row r="148" spans="1:4" x14ac:dyDescent="0.3">
      <c r="A148">
        <v>14</v>
      </c>
      <c r="B148" s="2">
        <v>46041</v>
      </c>
      <c r="C148">
        <v>99</v>
      </c>
      <c r="D148">
        <v>1</v>
      </c>
    </row>
    <row r="149" spans="1:4" x14ac:dyDescent="0.3">
      <c r="A149">
        <v>14</v>
      </c>
      <c r="B149" s="2">
        <v>46042</v>
      </c>
      <c r="C149">
        <v>299</v>
      </c>
      <c r="D149">
        <v>1</v>
      </c>
    </row>
    <row r="150" spans="1:4" x14ac:dyDescent="0.3">
      <c r="A150">
        <v>14</v>
      </c>
      <c r="B150" s="2">
        <v>46047</v>
      </c>
      <c r="C150">
        <v>1598</v>
      </c>
      <c r="D150">
        <v>2</v>
      </c>
    </row>
    <row r="151" spans="1:4" x14ac:dyDescent="0.3">
      <c r="A151">
        <v>15</v>
      </c>
      <c r="B151" s="2">
        <v>46023</v>
      </c>
      <c r="C151">
        <v>499</v>
      </c>
      <c r="D151">
        <v>1</v>
      </c>
    </row>
    <row r="152" spans="1:4" x14ac:dyDescent="0.3">
      <c r="A152">
        <v>15</v>
      </c>
      <c r="B152" s="2">
        <v>46029</v>
      </c>
      <c r="C152">
        <v>49</v>
      </c>
      <c r="D152">
        <v>1</v>
      </c>
    </row>
    <row r="153" spans="1:4" x14ac:dyDescent="0.3">
      <c r="A153">
        <v>15</v>
      </c>
      <c r="B153" s="2">
        <v>46032</v>
      </c>
      <c r="C153">
        <v>49</v>
      </c>
      <c r="D153">
        <v>1</v>
      </c>
    </row>
    <row r="154" spans="1:4" x14ac:dyDescent="0.3">
      <c r="A154">
        <v>15</v>
      </c>
      <c r="B154" s="2">
        <v>46035</v>
      </c>
      <c r="C154">
        <v>299</v>
      </c>
      <c r="D154">
        <v>1</v>
      </c>
    </row>
    <row r="155" spans="1:4" x14ac:dyDescent="0.3">
      <c r="A155">
        <v>15</v>
      </c>
      <c r="B155" s="2">
        <v>46036</v>
      </c>
      <c r="C155">
        <v>399</v>
      </c>
      <c r="D155">
        <v>1</v>
      </c>
    </row>
    <row r="156" spans="1:4" x14ac:dyDescent="0.3">
      <c r="A156">
        <v>15</v>
      </c>
      <c r="B156" s="2">
        <v>46041</v>
      </c>
      <c r="C156">
        <v>499</v>
      </c>
      <c r="D156">
        <v>1</v>
      </c>
    </row>
    <row r="157" spans="1:4" x14ac:dyDescent="0.3">
      <c r="A157">
        <v>15</v>
      </c>
      <c r="B157" s="2">
        <v>46046</v>
      </c>
      <c r="C157">
        <v>148</v>
      </c>
      <c r="D157">
        <v>2</v>
      </c>
    </row>
    <row r="158" spans="1:4" x14ac:dyDescent="0.3">
      <c r="A158">
        <v>15</v>
      </c>
      <c r="B158" s="2">
        <v>46048</v>
      </c>
      <c r="C158">
        <v>4999</v>
      </c>
      <c r="D158">
        <v>1</v>
      </c>
    </row>
    <row r="159" spans="1:4" x14ac:dyDescent="0.3">
      <c r="A159">
        <v>15</v>
      </c>
      <c r="B159" s="2">
        <v>46049</v>
      </c>
      <c r="C159">
        <v>799</v>
      </c>
      <c r="D159">
        <v>1</v>
      </c>
    </row>
    <row r="160" spans="1:4" x14ac:dyDescent="0.3">
      <c r="A160">
        <v>15</v>
      </c>
      <c r="B160" s="2">
        <v>46051</v>
      </c>
      <c r="C160">
        <v>98</v>
      </c>
      <c r="D160">
        <v>2</v>
      </c>
    </row>
    <row r="161" spans="1:4" x14ac:dyDescent="0.3">
      <c r="A161">
        <v>16</v>
      </c>
      <c r="B161" s="2">
        <v>46024</v>
      </c>
      <c r="C161">
        <v>499</v>
      </c>
      <c r="D161">
        <v>1</v>
      </c>
    </row>
    <row r="162" spans="1:4" x14ac:dyDescent="0.3">
      <c r="A162">
        <v>16</v>
      </c>
      <c r="B162" s="2">
        <v>46025</v>
      </c>
      <c r="C162">
        <v>99</v>
      </c>
      <c r="D162">
        <v>1</v>
      </c>
    </row>
    <row r="163" spans="1:4" x14ac:dyDescent="0.3">
      <c r="A163">
        <v>16</v>
      </c>
      <c r="B163" s="2">
        <v>46026</v>
      </c>
      <c r="C163">
        <v>49</v>
      </c>
      <c r="D163">
        <v>1</v>
      </c>
    </row>
    <row r="164" spans="1:4" x14ac:dyDescent="0.3">
      <c r="A164">
        <v>16</v>
      </c>
      <c r="B164" s="2">
        <v>46027</v>
      </c>
      <c r="C164">
        <v>149</v>
      </c>
      <c r="D164">
        <v>1</v>
      </c>
    </row>
    <row r="165" spans="1:4" x14ac:dyDescent="0.3">
      <c r="A165">
        <v>16</v>
      </c>
      <c r="B165" s="2">
        <v>46033</v>
      </c>
      <c r="C165">
        <v>499</v>
      </c>
      <c r="D165">
        <v>1</v>
      </c>
    </row>
    <row r="166" spans="1:4" x14ac:dyDescent="0.3">
      <c r="A166">
        <v>16</v>
      </c>
      <c r="B166" s="2">
        <v>46037</v>
      </c>
      <c r="C166">
        <v>2999</v>
      </c>
      <c r="D166">
        <v>1</v>
      </c>
    </row>
    <row r="167" spans="1:4" x14ac:dyDescent="0.3">
      <c r="A167">
        <v>16</v>
      </c>
      <c r="B167" s="2">
        <v>46040</v>
      </c>
      <c r="C167">
        <v>49</v>
      </c>
      <c r="D167">
        <v>1</v>
      </c>
    </row>
    <row r="168" spans="1:4" x14ac:dyDescent="0.3">
      <c r="A168">
        <v>16</v>
      </c>
      <c r="B168" s="2">
        <v>46042</v>
      </c>
      <c r="C168">
        <v>448</v>
      </c>
      <c r="D168">
        <v>2</v>
      </c>
    </row>
    <row r="169" spans="1:4" x14ac:dyDescent="0.3">
      <c r="A169">
        <v>16</v>
      </c>
      <c r="B169" s="2">
        <v>46045</v>
      </c>
      <c r="C169">
        <v>399</v>
      </c>
      <c r="D169">
        <v>1</v>
      </c>
    </row>
    <row r="170" spans="1:4" x14ac:dyDescent="0.3">
      <c r="A170">
        <v>16</v>
      </c>
      <c r="B170" s="2">
        <v>46046</v>
      </c>
      <c r="C170">
        <v>1548</v>
      </c>
      <c r="D170">
        <v>2</v>
      </c>
    </row>
    <row r="171" spans="1:4" x14ac:dyDescent="0.3">
      <c r="A171">
        <v>16</v>
      </c>
      <c r="B171" s="2">
        <v>46047</v>
      </c>
      <c r="C171">
        <v>98</v>
      </c>
      <c r="D171">
        <v>2</v>
      </c>
    </row>
    <row r="172" spans="1:4" x14ac:dyDescent="0.3">
      <c r="A172">
        <v>16</v>
      </c>
      <c r="B172" s="2">
        <v>46049</v>
      </c>
      <c r="C172">
        <v>348</v>
      </c>
      <c r="D172">
        <v>2</v>
      </c>
    </row>
    <row r="173" spans="1:4" x14ac:dyDescent="0.3">
      <c r="A173">
        <v>16</v>
      </c>
      <c r="B173" s="2">
        <v>46050</v>
      </c>
      <c r="C173">
        <v>49</v>
      </c>
      <c r="D173">
        <v>1</v>
      </c>
    </row>
    <row r="174" spans="1:4" x14ac:dyDescent="0.3">
      <c r="A174">
        <v>16</v>
      </c>
      <c r="B174" s="2">
        <v>46051</v>
      </c>
      <c r="C174">
        <v>2999</v>
      </c>
      <c r="D174">
        <v>1</v>
      </c>
    </row>
    <row r="175" spans="1:4" x14ac:dyDescent="0.3">
      <c r="A175">
        <v>16</v>
      </c>
      <c r="B175" s="2">
        <v>46052</v>
      </c>
      <c r="C175">
        <v>898</v>
      </c>
      <c r="D175">
        <v>2</v>
      </c>
    </row>
    <row r="176" spans="1:4" x14ac:dyDescent="0.3">
      <c r="A176">
        <v>17</v>
      </c>
      <c r="B176" s="2">
        <v>46023</v>
      </c>
      <c r="C176">
        <v>1499</v>
      </c>
      <c r="D176">
        <v>1</v>
      </c>
    </row>
    <row r="177" spans="1:4" x14ac:dyDescent="0.3">
      <c r="A177">
        <v>17</v>
      </c>
      <c r="B177" s="2">
        <v>46024</v>
      </c>
      <c r="C177">
        <v>299</v>
      </c>
      <c r="D177">
        <v>1</v>
      </c>
    </row>
    <row r="178" spans="1:4" x14ac:dyDescent="0.3">
      <c r="A178">
        <v>17</v>
      </c>
      <c r="B178" s="2">
        <v>46025</v>
      </c>
      <c r="C178">
        <v>398</v>
      </c>
      <c r="D178">
        <v>2</v>
      </c>
    </row>
    <row r="179" spans="1:4" x14ac:dyDescent="0.3">
      <c r="A179">
        <v>17</v>
      </c>
      <c r="B179" s="2">
        <v>46033</v>
      </c>
      <c r="C179">
        <v>7998</v>
      </c>
      <c r="D179">
        <v>2</v>
      </c>
    </row>
    <row r="180" spans="1:4" x14ac:dyDescent="0.3">
      <c r="A180">
        <v>17</v>
      </c>
      <c r="B180" s="2">
        <v>46034</v>
      </c>
      <c r="C180">
        <v>1499</v>
      </c>
      <c r="D180">
        <v>1</v>
      </c>
    </row>
    <row r="181" spans="1:4" x14ac:dyDescent="0.3">
      <c r="A181">
        <v>17</v>
      </c>
      <c r="B181" s="2">
        <v>46039</v>
      </c>
      <c r="C181">
        <v>299</v>
      </c>
      <c r="D181">
        <v>1</v>
      </c>
    </row>
    <row r="182" spans="1:4" x14ac:dyDescent="0.3">
      <c r="A182">
        <v>17</v>
      </c>
      <c r="B182" s="2">
        <v>46040</v>
      </c>
      <c r="C182">
        <v>198</v>
      </c>
      <c r="D182">
        <v>2</v>
      </c>
    </row>
    <row r="183" spans="1:4" x14ac:dyDescent="0.3">
      <c r="A183">
        <v>17</v>
      </c>
      <c r="B183" s="2">
        <v>46041</v>
      </c>
      <c r="C183">
        <v>49</v>
      </c>
      <c r="D183">
        <v>1</v>
      </c>
    </row>
    <row r="184" spans="1:4" x14ac:dyDescent="0.3">
      <c r="A184">
        <v>17</v>
      </c>
      <c r="B184" s="2">
        <v>46050</v>
      </c>
      <c r="C184">
        <v>299</v>
      </c>
      <c r="D184">
        <v>1</v>
      </c>
    </row>
    <row r="185" spans="1:4" x14ac:dyDescent="0.3">
      <c r="A185">
        <v>17</v>
      </c>
      <c r="B185" s="2">
        <v>46052</v>
      </c>
      <c r="C185">
        <v>499</v>
      </c>
      <c r="D185">
        <v>1</v>
      </c>
    </row>
    <row r="186" spans="1:4" x14ac:dyDescent="0.3">
      <c r="A186">
        <v>18</v>
      </c>
      <c r="B186" s="2">
        <v>46028</v>
      </c>
      <c r="C186">
        <v>499</v>
      </c>
      <c r="D186">
        <v>1</v>
      </c>
    </row>
    <row r="187" spans="1:4" x14ac:dyDescent="0.3">
      <c r="A187">
        <v>18</v>
      </c>
      <c r="B187" s="2">
        <v>46033</v>
      </c>
      <c r="C187">
        <v>799</v>
      </c>
      <c r="D187">
        <v>1</v>
      </c>
    </row>
    <row r="188" spans="1:4" x14ac:dyDescent="0.3">
      <c r="A188">
        <v>18</v>
      </c>
      <c r="B188" s="2">
        <v>46034</v>
      </c>
      <c r="C188">
        <v>49</v>
      </c>
      <c r="D188">
        <v>1</v>
      </c>
    </row>
    <row r="189" spans="1:4" x14ac:dyDescent="0.3">
      <c r="A189">
        <v>18</v>
      </c>
      <c r="B189" s="2">
        <v>46036</v>
      </c>
      <c r="C189">
        <v>149</v>
      </c>
      <c r="D189">
        <v>1</v>
      </c>
    </row>
    <row r="190" spans="1:4" x14ac:dyDescent="0.3">
      <c r="A190">
        <v>18</v>
      </c>
      <c r="B190" s="2">
        <v>46037</v>
      </c>
      <c r="C190">
        <v>149</v>
      </c>
      <c r="D190">
        <v>1</v>
      </c>
    </row>
    <row r="191" spans="1:4" x14ac:dyDescent="0.3">
      <c r="A191">
        <v>18</v>
      </c>
      <c r="B191" s="2">
        <v>46038</v>
      </c>
      <c r="C191">
        <v>3148</v>
      </c>
      <c r="D191">
        <v>2</v>
      </c>
    </row>
    <row r="192" spans="1:4" x14ac:dyDescent="0.3">
      <c r="A192">
        <v>18</v>
      </c>
      <c r="B192" s="2">
        <v>46040</v>
      </c>
      <c r="C192">
        <v>499</v>
      </c>
      <c r="D192">
        <v>1</v>
      </c>
    </row>
    <row r="193" spans="1:4" x14ac:dyDescent="0.3">
      <c r="A193">
        <v>18</v>
      </c>
      <c r="B193" s="2">
        <v>46042</v>
      </c>
      <c r="C193">
        <v>149</v>
      </c>
      <c r="D193">
        <v>1</v>
      </c>
    </row>
    <row r="194" spans="1:4" x14ac:dyDescent="0.3">
      <c r="A194">
        <v>18</v>
      </c>
      <c r="B194" s="2">
        <v>46047</v>
      </c>
      <c r="C194">
        <v>1648</v>
      </c>
      <c r="D194">
        <v>2</v>
      </c>
    </row>
    <row r="195" spans="1:4" x14ac:dyDescent="0.3">
      <c r="A195">
        <v>19</v>
      </c>
      <c r="B195" s="2">
        <v>46024</v>
      </c>
      <c r="C195">
        <v>149</v>
      </c>
      <c r="D195">
        <v>1</v>
      </c>
    </row>
    <row r="196" spans="1:4" x14ac:dyDescent="0.3">
      <c r="A196">
        <v>19</v>
      </c>
      <c r="B196" s="2">
        <v>46028</v>
      </c>
      <c r="C196">
        <v>499</v>
      </c>
      <c r="D196">
        <v>1</v>
      </c>
    </row>
    <row r="197" spans="1:4" x14ac:dyDescent="0.3">
      <c r="A197">
        <v>19</v>
      </c>
      <c r="B197" s="2">
        <v>46031</v>
      </c>
      <c r="C197">
        <v>99</v>
      </c>
      <c r="D197">
        <v>1</v>
      </c>
    </row>
    <row r="198" spans="1:4" x14ac:dyDescent="0.3">
      <c r="A198">
        <v>19</v>
      </c>
      <c r="B198" s="2">
        <v>46032</v>
      </c>
      <c r="C198">
        <v>2999</v>
      </c>
      <c r="D198">
        <v>1</v>
      </c>
    </row>
    <row r="199" spans="1:4" x14ac:dyDescent="0.3">
      <c r="A199">
        <v>19</v>
      </c>
      <c r="B199" s="2">
        <v>46037</v>
      </c>
      <c r="C199">
        <v>398</v>
      </c>
      <c r="D199">
        <v>2</v>
      </c>
    </row>
    <row r="200" spans="1:4" x14ac:dyDescent="0.3">
      <c r="A200">
        <v>19</v>
      </c>
      <c r="B200" s="2">
        <v>46038</v>
      </c>
      <c r="C200">
        <v>4999</v>
      </c>
      <c r="D200">
        <v>1</v>
      </c>
    </row>
    <row r="201" spans="1:4" x14ac:dyDescent="0.3">
      <c r="A201">
        <v>19</v>
      </c>
      <c r="B201" s="2">
        <v>46041</v>
      </c>
      <c r="C201">
        <v>99</v>
      </c>
      <c r="D201">
        <v>1</v>
      </c>
    </row>
    <row r="202" spans="1:4" x14ac:dyDescent="0.3">
      <c r="A202">
        <v>19</v>
      </c>
      <c r="B202" s="2">
        <v>46042</v>
      </c>
      <c r="C202">
        <v>348</v>
      </c>
      <c r="D202">
        <v>2</v>
      </c>
    </row>
    <row r="203" spans="1:4" x14ac:dyDescent="0.3">
      <c r="A203">
        <v>19</v>
      </c>
      <c r="B203" s="2">
        <v>46044</v>
      </c>
      <c r="C203">
        <v>2999</v>
      </c>
      <c r="D203">
        <v>1</v>
      </c>
    </row>
    <row r="204" spans="1:4" x14ac:dyDescent="0.3">
      <c r="A204">
        <v>19</v>
      </c>
      <c r="B204" s="2">
        <v>46046</v>
      </c>
      <c r="C204">
        <v>149</v>
      </c>
      <c r="D204">
        <v>1</v>
      </c>
    </row>
    <row r="205" spans="1:4" x14ac:dyDescent="0.3">
      <c r="A205">
        <v>19</v>
      </c>
      <c r="B205" s="2">
        <v>46047</v>
      </c>
      <c r="C205">
        <v>49</v>
      </c>
      <c r="D205">
        <v>1</v>
      </c>
    </row>
    <row r="206" spans="1:4" x14ac:dyDescent="0.3">
      <c r="A206">
        <v>19</v>
      </c>
      <c r="B206" s="2">
        <v>46048</v>
      </c>
      <c r="C206">
        <v>49</v>
      </c>
      <c r="D206">
        <v>1</v>
      </c>
    </row>
    <row r="207" spans="1:4" x14ac:dyDescent="0.3">
      <c r="A207">
        <v>20</v>
      </c>
      <c r="B207" s="2">
        <v>46024</v>
      </c>
      <c r="C207">
        <v>49</v>
      </c>
      <c r="D207">
        <v>1</v>
      </c>
    </row>
    <row r="208" spans="1:4" x14ac:dyDescent="0.3">
      <c r="A208">
        <v>20</v>
      </c>
      <c r="B208" s="2">
        <v>46025</v>
      </c>
      <c r="C208">
        <v>348</v>
      </c>
      <c r="D208">
        <v>2</v>
      </c>
    </row>
    <row r="209" spans="1:4" x14ac:dyDescent="0.3">
      <c r="A209">
        <v>20</v>
      </c>
      <c r="B209" s="2">
        <v>46026</v>
      </c>
      <c r="C209">
        <v>2999</v>
      </c>
      <c r="D209">
        <v>1</v>
      </c>
    </row>
    <row r="210" spans="1:4" x14ac:dyDescent="0.3">
      <c r="A210">
        <v>20</v>
      </c>
      <c r="B210" s="2">
        <v>46032</v>
      </c>
      <c r="C210">
        <v>149</v>
      </c>
      <c r="D210">
        <v>1</v>
      </c>
    </row>
    <row r="211" spans="1:4" x14ac:dyDescent="0.3">
      <c r="A211">
        <v>20</v>
      </c>
      <c r="B211" s="2">
        <v>46043</v>
      </c>
      <c r="C211">
        <v>99</v>
      </c>
      <c r="D211">
        <v>1</v>
      </c>
    </row>
    <row r="212" spans="1:4" x14ac:dyDescent="0.3">
      <c r="A212">
        <v>20</v>
      </c>
      <c r="B212" s="2">
        <v>46045</v>
      </c>
      <c r="C212">
        <v>49</v>
      </c>
      <c r="D212">
        <v>1</v>
      </c>
    </row>
    <row r="213" spans="1:4" x14ac:dyDescent="0.3">
      <c r="A213">
        <v>20</v>
      </c>
      <c r="B213" s="2">
        <v>46046</v>
      </c>
      <c r="C213">
        <v>49</v>
      </c>
      <c r="D213">
        <v>1</v>
      </c>
    </row>
    <row r="214" spans="1:4" x14ac:dyDescent="0.3">
      <c r="A214">
        <v>20</v>
      </c>
      <c r="B214" s="2">
        <v>46051</v>
      </c>
      <c r="C214">
        <v>499</v>
      </c>
      <c r="D214">
        <v>1</v>
      </c>
    </row>
    <row r="215" spans="1:4" x14ac:dyDescent="0.3">
      <c r="A215">
        <v>21</v>
      </c>
      <c r="B215" s="2">
        <v>46023</v>
      </c>
      <c r="C215">
        <v>5298</v>
      </c>
      <c r="D215">
        <v>2</v>
      </c>
    </row>
    <row r="216" spans="1:4" x14ac:dyDescent="0.3">
      <c r="A216">
        <v>21</v>
      </c>
      <c r="B216" s="2">
        <v>46027</v>
      </c>
      <c r="C216">
        <v>499</v>
      </c>
      <c r="D216">
        <v>1</v>
      </c>
    </row>
    <row r="217" spans="1:4" x14ac:dyDescent="0.3">
      <c r="A217">
        <v>21</v>
      </c>
      <c r="B217" s="2">
        <v>46031</v>
      </c>
      <c r="C217">
        <v>499</v>
      </c>
      <c r="D217">
        <v>1</v>
      </c>
    </row>
    <row r="218" spans="1:4" x14ac:dyDescent="0.3">
      <c r="A218">
        <v>21</v>
      </c>
      <c r="B218" s="2">
        <v>46036</v>
      </c>
      <c r="C218">
        <v>49</v>
      </c>
      <c r="D218">
        <v>1</v>
      </c>
    </row>
    <row r="219" spans="1:4" x14ac:dyDescent="0.3">
      <c r="A219">
        <v>21</v>
      </c>
      <c r="B219" s="2">
        <v>46037</v>
      </c>
      <c r="C219">
        <v>299</v>
      </c>
      <c r="D219">
        <v>1</v>
      </c>
    </row>
    <row r="220" spans="1:4" x14ac:dyDescent="0.3">
      <c r="A220">
        <v>21</v>
      </c>
      <c r="B220" s="2">
        <v>46038</v>
      </c>
      <c r="C220">
        <v>799</v>
      </c>
      <c r="D220">
        <v>1</v>
      </c>
    </row>
    <row r="221" spans="1:4" x14ac:dyDescent="0.3">
      <c r="A221">
        <v>21</v>
      </c>
      <c r="B221" s="2">
        <v>46040</v>
      </c>
      <c r="C221">
        <v>799</v>
      </c>
      <c r="D221">
        <v>1</v>
      </c>
    </row>
    <row r="222" spans="1:4" x14ac:dyDescent="0.3">
      <c r="A222">
        <v>21</v>
      </c>
      <c r="B222" s="2">
        <v>46041</v>
      </c>
      <c r="C222">
        <v>99</v>
      </c>
      <c r="D222">
        <v>1</v>
      </c>
    </row>
    <row r="223" spans="1:4" x14ac:dyDescent="0.3">
      <c r="A223">
        <v>21</v>
      </c>
      <c r="B223" s="2">
        <v>46042</v>
      </c>
      <c r="C223">
        <v>49</v>
      </c>
      <c r="D223">
        <v>1</v>
      </c>
    </row>
    <row r="224" spans="1:4" x14ac:dyDescent="0.3">
      <c r="A224">
        <v>21</v>
      </c>
      <c r="B224" s="2">
        <v>46043</v>
      </c>
      <c r="C224">
        <v>49</v>
      </c>
      <c r="D224">
        <v>1</v>
      </c>
    </row>
    <row r="225" spans="1:4" x14ac:dyDescent="0.3">
      <c r="A225">
        <v>21</v>
      </c>
      <c r="B225" s="2">
        <v>46047</v>
      </c>
      <c r="C225">
        <v>299</v>
      </c>
      <c r="D225">
        <v>1</v>
      </c>
    </row>
    <row r="226" spans="1:4" x14ac:dyDescent="0.3">
      <c r="A226">
        <v>21</v>
      </c>
      <c r="B226" s="2">
        <v>46048</v>
      </c>
      <c r="C226">
        <v>99</v>
      </c>
      <c r="D226">
        <v>1</v>
      </c>
    </row>
    <row r="227" spans="1:4" x14ac:dyDescent="0.3">
      <c r="A227">
        <v>21</v>
      </c>
      <c r="B227" s="2">
        <v>46049</v>
      </c>
      <c r="C227">
        <v>49</v>
      </c>
      <c r="D227">
        <v>1</v>
      </c>
    </row>
    <row r="228" spans="1:4" x14ac:dyDescent="0.3">
      <c r="A228">
        <v>22</v>
      </c>
      <c r="B228" s="2">
        <v>46023</v>
      </c>
      <c r="C228">
        <v>799</v>
      </c>
      <c r="D228">
        <v>1</v>
      </c>
    </row>
    <row r="229" spans="1:4" x14ac:dyDescent="0.3">
      <c r="A229">
        <v>22</v>
      </c>
      <c r="B229" s="2">
        <v>46027</v>
      </c>
      <c r="C229">
        <v>448</v>
      </c>
      <c r="D229">
        <v>2</v>
      </c>
    </row>
    <row r="230" spans="1:4" x14ac:dyDescent="0.3">
      <c r="A230">
        <v>22</v>
      </c>
      <c r="B230" s="2">
        <v>46029</v>
      </c>
      <c r="C230">
        <v>499</v>
      </c>
      <c r="D230">
        <v>1</v>
      </c>
    </row>
    <row r="231" spans="1:4" x14ac:dyDescent="0.3">
      <c r="A231">
        <v>22</v>
      </c>
      <c r="B231" s="2">
        <v>46032</v>
      </c>
      <c r="C231">
        <v>499</v>
      </c>
      <c r="D231">
        <v>1</v>
      </c>
    </row>
    <row r="232" spans="1:4" x14ac:dyDescent="0.3">
      <c r="A232">
        <v>22</v>
      </c>
      <c r="B232" s="2">
        <v>46033</v>
      </c>
      <c r="C232">
        <v>299</v>
      </c>
      <c r="D232">
        <v>1</v>
      </c>
    </row>
    <row r="233" spans="1:4" x14ac:dyDescent="0.3">
      <c r="A233">
        <v>22</v>
      </c>
      <c r="B233" s="2">
        <v>46034</v>
      </c>
      <c r="C233">
        <v>1697</v>
      </c>
      <c r="D233">
        <v>3</v>
      </c>
    </row>
    <row r="234" spans="1:4" x14ac:dyDescent="0.3">
      <c r="A234">
        <v>22</v>
      </c>
      <c r="B234" s="2">
        <v>46035</v>
      </c>
      <c r="C234">
        <v>5798</v>
      </c>
      <c r="D234">
        <v>2</v>
      </c>
    </row>
    <row r="235" spans="1:4" x14ac:dyDescent="0.3">
      <c r="A235">
        <v>22</v>
      </c>
      <c r="B235" s="2">
        <v>46036</v>
      </c>
      <c r="C235">
        <v>799</v>
      </c>
      <c r="D235">
        <v>1</v>
      </c>
    </row>
    <row r="236" spans="1:4" x14ac:dyDescent="0.3">
      <c r="A236">
        <v>22</v>
      </c>
      <c r="B236" s="2">
        <v>46039</v>
      </c>
      <c r="C236">
        <v>1598</v>
      </c>
      <c r="D236">
        <v>2</v>
      </c>
    </row>
    <row r="237" spans="1:4" x14ac:dyDescent="0.3">
      <c r="A237">
        <v>22</v>
      </c>
      <c r="B237" s="2">
        <v>46045</v>
      </c>
      <c r="C237">
        <v>49</v>
      </c>
      <c r="D237">
        <v>1</v>
      </c>
    </row>
    <row r="238" spans="1:4" x14ac:dyDescent="0.3">
      <c r="A238">
        <v>22</v>
      </c>
      <c r="B238" s="2">
        <v>46051</v>
      </c>
      <c r="C238">
        <v>49</v>
      </c>
      <c r="D238">
        <v>1</v>
      </c>
    </row>
    <row r="239" spans="1:4" x14ac:dyDescent="0.3">
      <c r="A239">
        <v>23</v>
      </c>
      <c r="B239" s="2">
        <v>46030</v>
      </c>
      <c r="C239">
        <v>99</v>
      </c>
      <c r="D239">
        <v>1</v>
      </c>
    </row>
    <row r="240" spans="1:4" x14ac:dyDescent="0.3">
      <c r="A240">
        <v>23</v>
      </c>
      <c r="B240" s="2">
        <v>46031</v>
      </c>
      <c r="C240">
        <v>399</v>
      </c>
      <c r="D240">
        <v>1</v>
      </c>
    </row>
    <row r="241" spans="1:4" x14ac:dyDescent="0.3">
      <c r="A241">
        <v>23</v>
      </c>
      <c r="B241" s="2">
        <v>46034</v>
      </c>
      <c r="C241">
        <v>149</v>
      </c>
      <c r="D241">
        <v>1</v>
      </c>
    </row>
    <row r="242" spans="1:4" x14ac:dyDescent="0.3">
      <c r="A242">
        <v>23</v>
      </c>
      <c r="B242" s="2">
        <v>46039</v>
      </c>
      <c r="C242">
        <v>49</v>
      </c>
      <c r="D242">
        <v>1</v>
      </c>
    </row>
    <row r="243" spans="1:4" x14ac:dyDescent="0.3">
      <c r="A243">
        <v>23</v>
      </c>
      <c r="B243" s="2">
        <v>46040</v>
      </c>
      <c r="C243">
        <v>1999</v>
      </c>
      <c r="D243">
        <v>1</v>
      </c>
    </row>
    <row r="244" spans="1:4" x14ac:dyDescent="0.3">
      <c r="A244">
        <v>23</v>
      </c>
      <c r="B244" s="2">
        <v>46044</v>
      </c>
      <c r="C244">
        <v>49</v>
      </c>
      <c r="D244">
        <v>1</v>
      </c>
    </row>
    <row r="245" spans="1:4" x14ac:dyDescent="0.3">
      <c r="A245">
        <v>23</v>
      </c>
      <c r="B245" s="2">
        <v>46045</v>
      </c>
      <c r="C245">
        <v>247</v>
      </c>
      <c r="D245">
        <v>3</v>
      </c>
    </row>
    <row r="246" spans="1:4" x14ac:dyDescent="0.3">
      <c r="A246">
        <v>23</v>
      </c>
      <c r="B246" s="2">
        <v>46048</v>
      </c>
      <c r="C246">
        <v>49</v>
      </c>
      <c r="D246">
        <v>1</v>
      </c>
    </row>
    <row r="247" spans="1:4" x14ac:dyDescent="0.3">
      <c r="A247">
        <v>24</v>
      </c>
      <c r="B247" s="2">
        <v>46025</v>
      </c>
      <c r="C247">
        <v>49</v>
      </c>
      <c r="D247">
        <v>1</v>
      </c>
    </row>
    <row r="248" spans="1:4" x14ac:dyDescent="0.3">
      <c r="A248">
        <v>24</v>
      </c>
      <c r="B248" s="2">
        <v>46026</v>
      </c>
      <c r="C248">
        <v>149</v>
      </c>
      <c r="D248">
        <v>1</v>
      </c>
    </row>
    <row r="249" spans="1:4" x14ac:dyDescent="0.3">
      <c r="A249">
        <v>24</v>
      </c>
      <c r="B249" s="2">
        <v>46029</v>
      </c>
      <c r="C249">
        <v>299</v>
      </c>
      <c r="D249">
        <v>1</v>
      </c>
    </row>
    <row r="250" spans="1:4" x14ac:dyDescent="0.3">
      <c r="A250">
        <v>24</v>
      </c>
      <c r="B250" s="2">
        <v>46033</v>
      </c>
      <c r="C250">
        <v>799</v>
      </c>
      <c r="D250">
        <v>1</v>
      </c>
    </row>
    <row r="251" spans="1:4" x14ac:dyDescent="0.3">
      <c r="A251">
        <v>24</v>
      </c>
      <c r="B251" s="2">
        <v>46034</v>
      </c>
      <c r="C251">
        <v>149</v>
      </c>
      <c r="D251">
        <v>1</v>
      </c>
    </row>
    <row r="252" spans="1:4" x14ac:dyDescent="0.3">
      <c r="A252">
        <v>24</v>
      </c>
      <c r="B252" s="2">
        <v>46036</v>
      </c>
      <c r="C252">
        <v>499</v>
      </c>
      <c r="D252">
        <v>1</v>
      </c>
    </row>
    <row r="253" spans="1:4" x14ac:dyDescent="0.3">
      <c r="A253">
        <v>24</v>
      </c>
      <c r="B253" s="2">
        <v>46042</v>
      </c>
      <c r="C253">
        <v>299</v>
      </c>
      <c r="D253">
        <v>1</v>
      </c>
    </row>
    <row r="254" spans="1:4" x14ac:dyDescent="0.3">
      <c r="A254">
        <v>24</v>
      </c>
      <c r="B254" s="2">
        <v>46043</v>
      </c>
      <c r="C254">
        <v>799</v>
      </c>
      <c r="D254">
        <v>1</v>
      </c>
    </row>
    <row r="255" spans="1:4" x14ac:dyDescent="0.3">
      <c r="A255">
        <v>24</v>
      </c>
      <c r="B255" s="2">
        <v>46044</v>
      </c>
      <c r="C255">
        <v>49</v>
      </c>
      <c r="D255">
        <v>1</v>
      </c>
    </row>
    <row r="256" spans="1:4" x14ac:dyDescent="0.3">
      <c r="A256">
        <v>24</v>
      </c>
      <c r="B256" s="2">
        <v>46046</v>
      </c>
      <c r="C256">
        <v>148</v>
      </c>
      <c r="D256">
        <v>2</v>
      </c>
    </row>
    <row r="257" spans="1:4" x14ac:dyDescent="0.3">
      <c r="A257">
        <v>24</v>
      </c>
      <c r="B257" s="2">
        <v>46048</v>
      </c>
      <c r="C257">
        <v>348</v>
      </c>
      <c r="D257">
        <v>2</v>
      </c>
    </row>
    <row r="258" spans="1:4" x14ac:dyDescent="0.3">
      <c r="A258">
        <v>25</v>
      </c>
      <c r="B258" s="2">
        <v>46024</v>
      </c>
      <c r="C258">
        <v>99</v>
      </c>
      <c r="D258">
        <v>1</v>
      </c>
    </row>
    <row r="259" spans="1:4" x14ac:dyDescent="0.3">
      <c r="A259">
        <v>25</v>
      </c>
      <c r="B259" s="2">
        <v>46027</v>
      </c>
      <c r="C259">
        <v>4498</v>
      </c>
      <c r="D259">
        <v>2</v>
      </c>
    </row>
    <row r="260" spans="1:4" x14ac:dyDescent="0.3">
      <c r="A260">
        <v>25</v>
      </c>
      <c r="B260" s="2">
        <v>46028</v>
      </c>
      <c r="C260">
        <v>898</v>
      </c>
      <c r="D260">
        <v>2</v>
      </c>
    </row>
    <row r="261" spans="1:4" x14ac:dyDescent="0.3">
      <c r="A261">
        <v>25</v>
      </c>
      <c r="B261" s="2">
        <v>46033</v>
      </c>
      <c r="C261">
        <v>799</v>
      </c>
      <c r="D261">
        <v>1</v>
      </c>
    </row>
    <row r="262" spans="1:4" x14ac:dyDescent="0.3">
      <c r="A262">
        <v>25</v>
      </c>
      <c r="B262" s="2">
        <v>46035</v>
      </c>
      <c r="C262">
        <v>49</v>
      </c>
      <c r="D262">
        <v>1</v>
      </c>
    </row>
    <row r="263" spans="1:4" x14ac:dyDescent="0.3">
      <c r="A263">
        <v>25</v>
      </c>
      <c r="B263" s="2">
        <v>46037</v>
      </c>
      <c r="C263">
        <v>49</v>
      </c>
      <c r="D263">
        <v>1</v>
      </c>
    </row>
    <row r="264" spans="1:4" x14ac:dyDescent="0.3">
      <c r="A264">
        <v>25</v>
      </c>
      <c r="B264" s="2">
        <v>46038</v>
      </c>
      <c r="C264">
        <v>799</v>
      </c>
      <c r="D264">
        <v>1</v>
      </c>
    </row>
    <row r="265" spans="1:4" x14ac:dyDescent="0.3">
      <c r="A265">
        <v>25</v>
      </c>
      <c r="B265" s="2">
        <v>46041</v>
      </c>
      <c r="C265">
        <v>4498</v>
      </c>
      <c r="D265">
        <v>2</v>
      </c>
    </row>
    <row r="266" spans="1:4" x14ac:dyDescent="0.3">
      <c r="A266">
        <v>25</v>
      </c>
      <c r="B266" s="2">
        <v>46046</v>
      </c>
      <c r="C266">
        <v>497</v>
      </c>
      <c r="D266">
        <v>3</v>
      </c>
    </row>
    <row r="267" spans="1:4" x14ac:dyDescent="0.3">
      <c r="A267">
        <v>25</v>
      </c>
      <c r="B267" s="2">
        <v>46050</v>
      </c>
      <c r="C267">
        <v>299</v>
      </c>
      <c r="D267">
        <v>1</v>
      </c>
    </row>
    <row r="268" spans="1:4" x14ac:dyDescent="0.3">
      <c r="A268">
        <v>25</v>
      </c>
      <c r="B268" s="2">
        <v>46051</v>
      </c>
      <c r="C268">
        <v>3048</v>
      </c>
      <c r="D268">
        <v>2</v>
      </c>
    </row>
    <row r="269" spans="1:4" x14ac:dyDescent="0.3">
      <c r="A269">
        <v>26</v>
      </c>
      <c r="B269" s="2">
        <v>46024</v>
      </c>
      <c r="C269">
        <v>399</v>
      </c>
      <c r="D269">
        <v>1</v>
      </c>
    </row>
    <row r="270" spans="1:4" x14ac:dyDescent="0.3">
      <c r="A270">
        <v>26</v>
      </c>
      <c r="B270" s="2">
        <v>46025</v>
      </c>
      <c r="C270">
        <v>99</v>
      </c>
      <c r="D270">
        <v>1</v>
      </c>
    </row>
    <row r="271" spans="1:4" x14ac:dyDescent="0.3">
      <c r="A271">
        <v>26</v>
      </c>
      <c r="B271" s="2">
        <v>46028</v>
      </c>
      <c r="C271">
        <v>49</v>
      </c>
      <c r="D271">
        <v>1</v>
      </c>
    </row>
    <row r="272" spans="1:4" x14ac:dyDescent="0.3">
      <c r="A272">
        <v>26</v>
      </c>
      <c r="B272" s="2">
        <v>46032</v>
      </c>
      <c r="C272">
        <v>299</v>
      </c>
      <c r="D272">
        <v>1</v>
      </c>
    </row>
    <row r="273" spans="1:4" x14ac:dyDescent="0.3">
      <c r="A273">
        <v>26</v>
      </c>
      <c r="B273" s="2">
        <v>46034</v>
      </c>
      <c r="C273">
        <v>299</v>
      </c>
      <c r="D273">
        <v>1</v>
      </c>
    </row>
    <row r="274" spans="1:4" x14ac:dyDescent="0.3">
      <c r="A274">
        <v>26</v>
      </c>
      <c r="B274" s="2">
        <v>46036</v>
      </c>
      <c r="C274">
        <v>299</v>
      </c>
      <c r="D274">
        <v>1</v>
      </c>
    </row>
    <row r="275" spans="1:4" x14ac:dyDescent="0.3">
      <c r="A275">
        <v>26</v>
      </c>
      <c r="B275" s="2">
        <v>46044</v>
      </c>
      <c r="C275">
        <v>499</v>
      </c>
      <c r="D275">
        <v>1</v>
      </c>
    </row>
    <row r="276" spans="1:4" x14ac:dyDescent="0.3">
      <c r="A276">
        <v>26</v>
      </c>
      <c r="B276" s="2">
        <v>46045</v>
      </c>
      <c r="C276">
        <v>99</v>
      </c>
      <c r="D276">
        <v>1</v>
      </c>
    </row>
    <row r="277" spans="1:4" x14ac:dyDescent="0.3">
      <c r="A277">
        <v>26</v>
      </c>
      <c r="B277" s="2">
        <v>46050</v>
      </c>
      <c r="C277">
        <v>1499</v>
      </c>
      <c r="D277">
        <v>1</v>
      </c>
    </row>
    <row r="278" spans="1:4" x14ac:dyDescent="0.3">
      <c r="A278">
        <v>26</v>
      </c>
      <c r="B278" s="2">
        <v>46051</v>
      </c>
      <c r="C278">
        <v>148</v>
      </c>
      <c r="D278">
        <v>2</v>
      </c>
    </row>
    <row r="279" spans="1:4" x14ac:dyDescent="0.3">
      <c r="A279">
        <v>26</v>
      </c>
      <c r="B279" s="2">
        <v>46052</v>
      </c>
      <c r="C279">
        <v>1499</v>
      </c>
      <c r="D279">
        <v>1</v>
      </c>
    </row>
    <row r="280" spans="1:4" x14ac:dyDescent="0.3">
      <c r="A280">
        <v>27</v>
      </c>
      <c r="B280" s="2">
        <v>46023</v>
      </c>
      <c r="C280">
        <v>149</v>
      </c>
      <c r="D280">
        <v>1</v>
      </c>
    </row>
    <row r="281" spans="1:4" x14ac:dyDescent="0.3">
      <c r="A281">
        <v>27</v>
      </c>
      <c r="B281" s="2">
        <v>46026</v>
      </c>
      <c r="C281">
        <v>49</v>
      </c>
      <c r="D281">
        <v>1</v>
      </c>
    </row>
    <row r="282" spans="1:4" x14ac:dyDescent="0.3">
      <c r="A282">
        <v>27</v>
      </c>
      <c r="B282" s="2">
        <v>46032</v>
      </c>
      <c r="C282">
        <v>149</v>
      </c>
      <c r="D282">
        <v>1</v>
      </c>
    </row>
    <row r="283" spans="1:4" x14ac:dyDescent="0.3">
      <c r="A283">
        <v>27</v>
      </c>
      <c r="B283" s="2">
        <v>46034</v>
      </c>
      <c r="C283">
        <v>299</v>
      </c>
      <c r="D283">
        <v>1</v>
      </c>
    </row>
    <row r="284" spans="1:4" x14ac:dyDescent="0.3">
      <c r="A284">
        <v>27</v>
      </c>
      <c r="B284" s="2">
        <v>46036</v>
      </c>
      <c r="C284">
        <v>149</v>
      </c>
      <c r="D284">
        <v>1</v>
      </c>
    </row>
    <row r="285" spans="1:4" x14ac:dyDescent="0.3">
      <c r="A285">
        <v>27</v>
      </c>
      <c r="B285" s="2">
        <v>46037</v>
      </c>
      <c r="C285">
        <v>1499</v>
      </c>
      <c r="D285">
        <v>1</v>
      </c>
    </row>
    <row r="286" spans="1:4" x14ac:dyDescent="0.3">
      <c r="A286">
        <v>27</v>
      </c>
      <c r="B286" s="2">
        <v>46039</v>
      </c>
      <c r="C286">
        <v>1597</v>
      </c>
      <c r="D286">
        <v>3</v>
      </c>
    </row>
    <row r="287" spans="1:4" x14ac:dyDescent="0.3">
      <c r="A287">
        <v>27</v>
      </c>
      <c r="B287" s="2">
        <v>46041</v>
      </c>
      <c r="C287">
        <v>49</v>
      </c>
      <c r="D287">
        <v>1</v>
      </c>
    </row>
    <row r="288" spans="1:4" x14ac:dyDescent="0.3">
      <c r="A288">
        <v>27</v>
      </c>
      <c r="B288" s="2">
        <v>46042</v>
      </c>
      <c r="C288">
        <v>4999</v>
      </c>
      <c r="D288">
        <v>1</v>
      </c>
    </row>
    <row r="289" spans="1:4" x14ac:dyDescent="0.3">
      <c r="A289">
        <v>27</v>
      </c>
      <c r="B289" s="2">
        <v>46043</v>
      </c>
      <c r="C289">
        <v>499</v>
      </c>
      <c r="D289">
        <v>1</v>
      </c>
    </row>
    <row r="290" spans="1:4" x14ac:dyDescent="0.3">
      <c r="A290">
        <v>27</v>
      </c>
      <c r="B290" s="2">
        <v>46044</v>
      </c>
      <c r="C290">
        <v>49</v>
      </c>
      <c r="D290">
        <v>1</v>
      </c>
    </row>
    <row r="291" spans="1:4" x14ac:dyDescent="0.3">
      <c r="A291">
        <v>27</v>
      </c>
      <c r="B291" s="2">
        <v>46045</v>
      </c>
      <c r="C291">
        <v>3998</v>
      </c>
      <c r="D291">
        <v>2</v>
      </c>
    </row>
    <row r="292" spans="1:4" x14ac:dyDescent="0.3">
      <c r="A292">
        <v>27</v>
      </c>
      <c r="B292" s="2">
        <v>46046</v>
      </c>
      <c r="C292">
        <v>99</v>
      </c>
      <c r="D292">
        <v>1</v>
      </c>
    </row>
    <row r="293" spans="1:4" x14ac:dyDescent="0.3">
      <c r="A293">
        <v>28</v>
      </c>
      <c r="B293" s="2">
        <v>46030</v>
      </c>
      <c r="C293">
        <v>49</v>
      </c>
      <c r="D293">
        <v>1</v>
      </c>
    </row>
    <row r="294" spans="1:4" x14ac:dyDescent="0.3">
      <c r="A294">
        <v>28</v>
      </c>
      <c r="B294" s="2">
        <v>46031</v>
      </c>
      <c r="C294">
        <v>2999</v>
      </c>
      <c r="D294">
        <v>1</v>
      </c>
    </row>
    <row r="295" spans="1:4" x14ac:dyDescent="0.3">
      <c r="A295">
        <v>28</v>
      </c>
      <c r="B295" s="2">
        <v>46032</v>
      </c>
      <c r="C295">
        <v>499</v>
      </c>
      <c r="D295">
        <v>1</v>
      </c>
    </row>
    <row r="296" spans="1:4" x14ac:dyDescent="0.3">
      <c r="A296">
        <v>28</v>
      </c>
      <c r="B296" s="2">
        <v>46033</v>
      </c>
      <c r="C296">
        <v>49</v>
      </c>
      <c r="D296">
        <v>1</v>
      </c>
    </row>
    <row r="297" spans="1:4" x14ac:dyDescent="0.3">
      <c r="A297">
        <v>28</v>
      </c>
      <c r="B297" s="2">
        <v>46036</v>
      </c>
      <c r="C297">
        <v>49</v>
      </c>
      <c r="D297">
        <v>1</v>
      </c>
    </row>
    <row r="298" spans="1:4" x14ac:dyDescent="0.3">
      <c r="A298">
        <v>28</v>
      </c>
      <c r="B298" s="2">
        <v>46037</v>
      </c>
      <c r="C298">
        <v>2999</v>
      </c>
      <c r="D298">
        <v>1</v>
      </c>
    </row>
    <row r="299" spans="1:4" x14ac:dyDescent="0.3">
      <c r="A299">
        <v>28</v>
      </c>
      <c r="B299" s="2">
        <v>46038</v>
      </c>
      <c r="C299">
        <v>299</v>
      </c>
      <c r="D299">
        <v>1</v>
      </c>
    </row>
    <row r="300" spans="1:4" x14ac:dyDescent="0.3">
      <c r="A300">
        <v>28</v>
      </c>
      <c r="B300" s="2">
        <v>46043</v>
      </c>
      <c r="C300">
        <v>1999</v>
      </c>
      <c r="D300">
        <v>1</v>
      </c>
    </row>
    <row r="301" spans="1:4" x14ac:dyDescent="0.3">
      <c r="A301">
        <v>28</v>
      </c>
      <c r="B301" s="2">
        <v>46044</v>
      </c>
      <c r="C301">
        <v>99</v>
      </c>
      <c r="D301">
        <v>1</v>
      </c>
    </row>
    <row r="302" spans="1:4" x14ac:dyDescent="0.3">
      <c r="A302">
        <v>28</v>
      </c>
      <c r="B302" s="2">
        <v>46052</v>
      </c>
      <c r="C302">
        <v>499</v>
      </c>
      <c r="D302">
        <v>1</v>
      </c>
    </row>
    <row r="303" spans="1:4" x14ac:dyDescent="0.3">
      <c r="A303">
        <v>29</v>
      </c>
      <c r="B303" s="2">
        <v>46026</v>
      </c>
      <c r="C303">
        <v>99</v>
      </c>
      <c r="D303">
        <v>1</v>
      </c>
    </row>
    <row r="304" spans="1:4" x14ac:dyDescent="0.3">
      <c r="A304">
        <v>29</v>
      </c>
      <c r="B304" s="2">
        <v>46027</v>
      </c>
      <c r="C304">
        <v>799</v>
      </c>
      <c r="D304">
        <v>1</v>
      </c>
    </row>
    <row r="305" spans="1:4" x14ac:dyDescent="0.3">
      <c r="A305">
        <v>29</v>
      </c>
      <c r="B305" s="2">
        <v>46030</v>
      </c>
      <c r="C305">
        <v>2999</v>
      </c>
      <c r="D305">
        <v>1</v>
      </c>
    </row>
    <row r="306" spans="1:4" x14ac:dyDescent="0.3">
      <c r="A306">
        <v>29</v>
      </c>
      <c r="B306" s="2">
        <v>46031</v>
      </c>
      <c r="C306">
        <v>499</v>
      </c>
      <c r="D306">
        <v>1</v>
      </c>
    </row>
    <row r="307" spans="1:4" x14ac:dyDescent="0.3">
      <c r="A307">
        <v>29</v>
      </c>
      <c r="B307" s="2">
        <v>46034</v>
      </c>
      <c r="C307">
        <v>399</v>
      </c>
      <c r="D307">
        <v>1</v>
      </c>
    </row>
    <row r="308" spans="1:4" x14ac:dyDescent="0.3">
      <c r="A308">
        <v>29</v>
      </c>
      <c r="B308" s="2">
        <v>46036</v>
      </c>
      <c r="C308">
        <v>1998</v>
      </c>
      <c r="D308">
        <v>2</v>
      </c>
    </row>
    <row r="309" spans="1:4" x14ac:dyDescent="0.3">
      <c r="A309">
        <v>29</v>
      </c>
      <c r="B309" s="2">
        <v>46037</v>
      </c>
      <c r="C309">
        <v>1098</v>
      </c>
      <c r="D309">
        <v>2</v>
      </c>
    </row>
    <row r="310" spans="1:4" x14ac:dyDescent="0.3">
      <c r="A310">
        <v>29</v>
      </c>
      <c r="B310" s="2">
        <v>46039</v>
      </c>
      <c r="C310">
        <v>49</v>
      </c>
      <c r="D310">
        <v>1</v>
      </c>
    </row>
    <row r="311" spans="1:4" x14ac:dyDescent="0.3">
      <c r="A311">
        <v>29</v>
      </c>
      <c r="B311" s="2">
        <v>46041</v>
      </c>
      <c r="C311">
        <v>49</v>
      </c>
      <c r="D311">
        <v>1</v>
      </c>
    </row>
    <row r="312" spans="1:4" x14ac:dyDescent="0.3">
      <c r="A312">
        <v>29</v>
      </c>
      <c r="B312" s="2">
        <v>46042</v>
      </c>
      <c r="C312">
        <v>149</v>
      </c>
      <c r="D312">
        <v>1</v>
      </c>
    </row>
    <row r="313" spans="1:4" x14ac:dyDescent="0.3">
      <c r="A313">
        <v>29</v>
      </c>
      <c r="B313" s="2">
        <v>46047</v>
      </c>
      <c r="C313">
        <v>3896</v>
      </c>
      <c r="D313">
        <v>4</v>
      </c>
    </row>
    <row r="314" spans="1:4" x14ac:dyDescent="0.3">
      <c r="A314">
        <v>29</v>
      </c>
      <c r="B314" s="2">
        <v>46049</v>
      </c>
      <c r="C314">
        <v>898</v>
      </c>
      <c r="D314">
        <v>2</v>
      </c>
    </row>
    <row r="315" spans="1:4" x14ac:dyDescent="0.3">
      <c r="A315">
        <v>29</v>
      </c>
      <c r="B315" s="2">
        <v>46050</v>
      </c>
      <c r="C315">
        <v>149</v>
      </c>
      <c r="D315">
        <v>1</v>
      </c>
    </row>
    <row r="316" spans="1:4" x14ac:dyDescent="0.3">
      <c r="A316">
        <v>30</v>
      </c>
      <c r="B316" s="2">
        <v>46025</v>
      </c>
      <c r="C316">
        <v>149</v>
      </c>
      <c r="D316">
        <v>1</v>
      </c>
    </row>
    <row r="317" spans="1:4" x14ac:dyDescent="0.3">
      <c r="A317">
        <v>30</v>
      </c>
      <c r="B317" s="2">
        <v>46030</v>
      </c>
      <c r="C317">
        <v>1197</v>
      </c>
      <c r="D317">
        <v>3</v>
      </c>
    </row>
    <row r="318" spans="1:4" x14ac:dyDescent="0.3">
      <c r="A318">
        <v>30</v>
      </c>
      <c r="B318" s="2">
        <v>46031</v>
      </c>
      <c r="C318">
        <v>99</v>
      </c>
      <c r="D318">
        <v>1</v>
      </c>
    </row>
    <row r="319" spans="1:4" x14ac:dyDescent="0.3">
      <c r="A319">
        <v>30</v>
      </c>
      <c r="B319" s="2">
        <v>46034</v>
      </c>
      <c r="C319">
        <v>499</v>
      </c>
      <c r="D319">
        <v>1</v>
      </c>
    </row>
    <row r="320" spans="1:4" x14ac:dyDescent="0.3">
      <c r="A320">
        <v>30</v>
      </c>
      <c r="B320" s="2">
        <v>46035</v>
      </c>
      <c r="C320">
        <v>1499</v>
      </c>
      <c r="D320">
        <v>1</v>
      </c>
    </row>
    <row r="321" spans="1:4" x14ac:dyDescent="0.3">
      <c r="A321">
        <v>30</v>
      </c>
      <c r="B321" s="2">
        <v>46036</v>
      </c>
      <c r="C321">
        <v>2497</v>
      </c>
      <c r="D321">
        <v>3</v>
      </c>
    </row>
    <row r="322" spans="1:4" x14ac:dyDescent="0.3">
      <c r="A322">
        <v>30</v>
      </c>
      <c r="B322" s="2">
        <v>46037</v>
      </c>
      <c r="C322">
        <v>49</v>
      </c>
      <c r="D322">
        <v>1</v>
      </c>
    </row>
    <row r="323" spans="1:4" x14ac:dyDescent="0.3">
      <c r="A323">
        <v>30</v>
      </c>
      <c r="B323" s="2">
        <v>46039</v>
      </c>
      <c r="C323">
        <v>49</v>
      </c>
      <c r="D323">
        <v>1</v>
      </c>
    </row>
    <row r="324" spans="1:4" x14ac:dyDescent="0.3">
      <c r="A324">
        <v>30</v>
      </c>
      <c r="B324" s="2">
        <v>46040</v>
      </c>
      <c r="C324">
        <v>799</v>
      </c>
      <c r="D324">
        <v>1</v>
      </c>
    </row>
    <row r="325" spans="1:4" x14ac:dyDescent="0.3">
      <c r="A325">
        <v>30</v>
      </c>
      <c r="B325" s="2">
        <v>46048</v>
      </c>
      <c r="C325">
        <v>799</v>
      </c>
      <c r="D325">
        <v>1</v>
      </c>
    </row>
    <row r="326" spans="1:4" x14ac:dyDescent="0.3">
      <c r="A326">
        <v>30</v>
      </c>
      <c r="B326" s="2">
        <v>46050</v>
      </c>
      <c r="C326">
        <v>49</v>
      </c>
      <c r="D326">
        <v>1</v>
      </c>
    </row>
    <row r="327" spans="1:4" x14ac:dyDescent="0.3">
      <c r="A327">
        <v>30</v>
      </c>
      <c r="B327" s="2">
        <v>46051</v>
      </c>
      <c r="C327">
        <v>149</v>
      </c>
      <c r="D327">
        <v>1</v>
      </c>
    </row>
    <row r="328" spans="1:4" x14ac:dyDescent="0.3">
      <c r="A328">
        <v>30</v>
      </c>
      <c r="B328" s="2">
        <v>46052</v>
      </c>
      <c r="C328">
        <v>49</v>
      </c>
      <c r="D328">
        <v>1</v>
      </c>
    </row>
    <row r="329" spans="1:4" x14ac:dyDescent="0.3">
      <c r="A329">
        <v>31</v>
      </c>
      <c r="B329" s="2">
        <v>46027</v>
      </c>
      <c r="C329">
        <v>49</v>
      </c>
      <c r="D329">
        <v>1</v>
      </c>
    </row>
    <row r="330" spans="1:4" x14ac:dyDescent="0.3">
      <c r="A330">
        <v>31</v>
      </c>
      <c r="B330" s="2">
        <v>46029</v>
      </c>
      <c r="C330">
        <v>49</v>
      </c>
      <c r="D330">
        <v>1</v>
      </c>
    </row>
    <row r="331" spans="1:4" x14ac:dyDescent="0.3">
      <c r="A331">
        <v>31</v>
      </c>
      <c r="B331" s="2">
        <v>46031</v>
      </c>
      <c r="C331">
        <v>1499</v>
      </c>
      <c r="D331">
        <v>1</v>
      </c>
    </row>
    <row r="332" spans="1:4" x14ac:dyDescent="0.3">
      <c r="A332">
        <v>31</v>
      </c>
      <c r="B332" s="2">
        <v>46032</v>
      </c>
      <c r="C332">
        <v>499</v>
      </c>
      <c r="D332">
        <v>1</v>
      </c>
    </row>
    <row r="333" spans="1:4" x14ac:dyDescent="0.3">
      <c r="A333">
        <v>31</v>
      </c>
      <c r="B333" s="2">
        <v>46034</v>
      </c>
      <c r="C333">
        <v>598</v>
      </c>
      <c r="D333">
        <v>2</v>
      </c>
    </row>
    <row r="334" spans="1:4" x14ac:dyDescent="0.3">
      <c r="A334">
        <v>31</v>
      </c>
      <c r="B334" s="2">
        <v>46035</v>
      </c>
      <c r="C334">
        <v>299</v>
      </c>
      <c r="D334">
        <v>1</v>
      </c>
    </row>
    <row r="335" spans="1:4" x14ac:dyDescent="0.3">
      <c r="A335">
        <v>31</v>
      </c>
      <c r="B335" s="2">
        <v>46036</v>
      </c>
      <c r="C335">
        <v>499</v>
      </c>
      <c r="D335">
        <v>1</v>
      </c>
    </row>
    <row r="336" spans="1:4" x14ac:dyDescent="0.3">
      <c r="A336">
        <v>31</v>
      </c>
      <c r="B336" s="2">
        <v>46037</v>
      </c>
      <c r="C336">
        <v>299</v>
      </c>
      <c r="D336">
        <v>1</v>
      </c>
    </row>
    <row r="337" spans="1:4" x14ac:dyDescent="0.3">
      <c r="A337">
        <v>31</v>
      </c>
      <c r="B337" s="2">
        <v>46038</v>
      </c>
      <c r="C337">
        <v>499</v>
      </c>
      <c r="D337">
        <v>1</v>
      </c>
    </row>
    <row r="338" spans="1:4" x14ac:dyDescent="0.3">
      <c r="A338">
        <v>31</v>
      </c>
      <c r="B338" s="2">
        <v>46040</v>
      </c>
      <c r="C338">
        <v>49</v>
      </c>
      <c r="D338">
        <v>1</v>
      </c>
    </row>
    <row r="339" spans="1:4" x14ac:dyDescent="0.3">
      <c r="A339">
        <v>31</v>
      </c>
      <c r="B339" s="2">
        <v>46043</v>
      </c>
      <c r="C339">
        <v>49</v>
      </c>
      <c r="D339">
        <v>1</v>
      </c>
    </row>
    <row r="340" spans="1:4" x14ac:dyDescent="0.3">
      <c r="A340">
        <v>31</v>
      </c>
      <c r="B340" s="2">
        <v>46044</v>
      </c>
      <c r="C340">
        <v>99</v>
      </c>
      <c r="D340">
        <v>1</v>
      </c>
    </row>
    <row r="341" spans="1:4" x14ac:dyDescent="0.3">
      <c r="A341">
        <v>31</v>
      </c>
      <c r="B341" s="2">
        <v>46050</v>
      </c>
      <c r="C341">
        <v>299</v>
      </c>
      <c r="D341">
        <v>1</v>
      </c>
    </row>
    <row r="342" spans="1:4" x14ac:dyDescent="0.3">
      <c r="A342">
        <v>31</v>
      </c>
      <c r="B342" s="2">
        <v>46051</v>
      </c>
      <c r="C342">
        <v>49</v>
      </c>
      <c r="D342">
        <v>1</v>
      </c>
    </row>
    <row r="343" spans="1:4" x14ac:dyDescent="0.3">
      <c r="A343">
        <v>32</v>
      </c>
      <c r="B343" s="2">
        <v>46025</v>
      </c>
      <c r="C343">
        <v>149</v>
      </c>
      <c r="D343">
        <v>1</v>
      </c>
    </row>
    <row r="344" spans="1:4" x14ac:dyDescent="0.3">
      <c r="A344">
        <v>32</v>
      </c>
      <c r="B344" s="2">
        <v>46026</v>
      </c>
      <c r="C344">
        <v>49</v>
      </c>
      <c r="D344">
        <v>1</v>
      </c>
    </row>
    <row r="345" spans="1:4" x14ac:dyDescent="0.3">
      <c r="A345">
        <v>32</v>
      </c>
      <c r="B345" s="2">
        <v>46028</v>
      </c>
      <c r="C345">
        <v>149</v>
      </c>
      <c r="D345">
        <v>1</v>
      </c>
    </row>
    <row r="346" spans="1:4" x14ac:dyDescent="0.3">
      <c r="A346">
        <v>32</v>
      </c>
      <c r="B346" s="2">
        <v>46031</v>
      </c>
      <c r="C346">
        <v>499</v>
      </c>
      <c r="D346">
        <v>1</v>
      </c>
    </row>
    <row r="347" spans="1:4" x14ac:dyDescent="0.3">
      <c r="A347">
        <v>32</v>
      </c>
      <c r="B347" s="2">
        <v>46035</v>
      </c>
      <c r="C347">
        <v>1999</v>
      </c>
      <c r="D347">
        <v>1</v>
      </c>
    </row>
    <row r="348" spans="1:4" x14ac:dyDescent="0.3">
      <c r="A348">
        <v>32</v>
      </c>
      <c r="B348" s="2">
        <v>46037</v>
      </c>
      <c r="C348">
        <v>148</v>
      </c>
      <c r="D348">
        <v>2</v>
      </c>
    </row>
    <row r="349" spans="1:4" x14ac:dyDescent="0.3">
      <c r="A349">
        <v>32</v>
      </c>
      <c r="B349" s="2">
        <v>46040</v>
      </c>
      <c r="C349">
        <v>149</v>
      </c>
      <c r="D349">
        <v>1</v>
      </c>
    </row>
    <row r="350" spans="1:4" x14ac:dyDescent="0.3">
      <c r="A350">
        <v>32</v>
      </c>
      <c r="B350" s="2">
        <v>46043</v>
      </c>
      <c r="C350">
        <v>348</v>
      </c>
      <c r="D350">
        <v>2</v>
      </c>
    </row>
    <row r="351" spans="1:4" x14ac:dyDescent="0.3">
      <c r="A351">
        <v>32</v>
      </c>
      <c r="B351" s="2">
        <v>46046</v>
      </c>
      <c r="C351">
        <v>49</v>
      </c>
      <c r="D351">
        <v>1</v>
      </c>
    </row>
    <row r="352" spans="1:4" x14ac:dyDescent="0.3">
      <c r="A352">
        <v>32</v>
      </c>
      <c r="B352" s="2">
        <v>46047</v>
      </c>
      <c r="C352">
        <v>49</v>
      </c>
      <c r="D352">
        <v>1</v>
      </c>
    </row>
    <row r="353" spans="1:4" x14ac:dyDescent="0.3">
      <c r="A353">
        <v>32</v>
      </c>
      <c r="B353" s="2">
        <v>46049</v>
      </c>
      <c r="C353">
        <v>1499</v>
      </c>
      <c r="D353">
        <v>1</v>
      </c>
    </row>
    <row r="354" spans="1:4" x14ac:dyDescent="0.3">
      <c r="A354">
        <v>32</v>
      </c>
      <c r="B354" s="2">
        <v>46050</v>
      </c>
      <c r="C354">
        <v>2999</v>
      </c>
      <c r="D354">
        <v>1</v>
      </c>
    </row>
    <row r="355" spans="1:4" x14ac:dyDescent="0.3">
      <c r="A355">
        <v>33</v>
      </c>
      <c r="B355" s="2">
        <v>46025</v>
      </c>
      <c r="C355">
        <v>149</v>
      </c>
      <c r="D355">
        <v>1</v>
      </c>
    </row>
    <row r="356" spans="1:4" x14ac:dyDescent="0.3">
      <c r="A356">
        <v>33</v>
      </c>
      <c r="B356" s="2">
        <v>46026</v>
      </c>
      <c r="C356">
        <v>4999</v>
      </c>
      <c r="D356">
        <v>1</v>
      </c>
    </row>
    <row r="357" spans="1:4" x14ac:dyDescent="0.3">
      <c r="A357">
        <v>33</v>
      </c>
      <c r="B357" s="2">
        <v>46034</v>
      </c>
      <c r="C357">
        <v>299</v>
      </c>
      <c r="D357">
        <v>1</v>
      </c>
    </row>
    <row r="358" spans="1:4" x14ac:dyDescent="0.3">
      <c r="A358">
        <v>33</v>
      </c>
      <c r="B358" s="2">
        <v>46037</v>
      </c>
      <c r="C358">
        <v>799</v>
      </c>
      <c r="D358">
        <v>1</v>
      </c>
    </row>
    <row r="359" spans="1:4" x14ac:dyDescent="0.3">
      <c r="A359">
        <v>33</v>
      </c>
      <c r="B359" s="2">
        <v>46042</v>
      </c>
      <c r="C359">
        <v>499</v>
      </c>
      <c r="D359">
        <v>1</v>
      </c>
    </row>
    <row r="360" spans="1:4" x14ac:dyDescent="0.3">
      <c r="A360">
        <v>33</v>
      </c>
      <c r="B360" s="2">
        <v>46043</v>
      </c>
      <c r="C360">
        <v>3298</v>
      </c>
      <c r="D360">
        <v>2</v>
      </c>
    </row>
    <row r="361" spans="1:4" x14ac:dyDescent="0.3">
      <c r="A361">
        <v>33</v>
      </c>
      <c r="B361" s="2">
        <v>46044</v>
      </c>
      <c r="C361">
        <v>99</v>
      </c>
      <c r="D361">
        <v>1</v>
      </c>
    </row>
    <row r="362" spans="1:4" x14ac:dyDescent="0.3">
      <c r="A362">
        <v>33</v>
      </c>
      <c r="B362" s="2">
        <v>46045</v>
      </c>
      <c r="C362">
        <v>49</v>
      </c>
      <c r="D362">
        <v>1</v>
      </c>
    </row>
    <row r="363" spans="1:4" x14ac:dyDescent="0.3">
      <c r="A363">
        <v>33</v>
      </c>
      <c r="B363" s="2">
        <v>46046</v>
      </c>
      <c r="C363">
        <v>49</v>
      </c>
      <c r="D363">
        <v>1</v>
      </c>
    </row>
    <row r="364" spans="1:4" x14ac:dyDescent="0.3">
      <c r="A364">
        <v>33</v>
      </c>
      <c r="B364" s="2">
        <v>46047</v>
      </c>
      <c r="C364">
        <v>99</v>
      </c>
      <c r="D364">
        <v>1</v>
      </c>
    </row>
    <row r="365" spans="1:4" x14ac:dyDescent="0.3">
      <c r="A365">
        <v>34</v>
      </c>
      <c r="B365" s="2">
        <v>46024</v>
      </c>
      <c r="C365">
        <v>548</v>
      </c>
      <c r="D365">
        <v>2</v>
      </c>
    </row>
    <row r="366" spans="1:4" x14ac:dyDescent="0.3">
      <c r="A366">
        <v>34</v>
      </c>
      <c r="B366" s="2">
        <v>46027</v>
      </c>
      <c r="C366">
        <v>2999</v>
      </c>
      <c r="D366">
        <v>1</v>
      </c>
    </row>
    <row r="367" spans="1:4" x14ac:dyDescent="0.3">
      <c r="A367">
        <v>34</v>
      </c>
      <c r="B367" s="2">
        <v>46031</v>
      </c>
      <c r="C367">
        <v>299</v>
      </c>
      <c r="D367">
        <v>1</v>
      </c>
    </row>
    <row r="368" spans="1:4" x14ac:dyDescent="0.3">
      <c r="A368">
        <v>34</v>
      </c>
      <c r="B368" s="2">
        <v>46032</v>
      </c>
      <c r="C368">
        <v>49</v>
      </c>
      <c r="D368">
        <v>1</v>
      </c>
    </row>
    <row r="369" spans="1:4" x14ac:dyDescent="0.3">
      <c r="A369">
        <v>34</v>
      </c>
      <c r="B369" s="2">
        <v>46034</v>
      </c>
      <c r="C369">
        <v>399</v>
      </c>
      <c r="D369">
        <v>1</v>
      </c>
    </row>
    <row r="370" spans="1:4" x14ac:dyDescent="0.3">
      <c r="A370">
        <v>34</v>
      </c>
      <c r="B370" s="2">
        <v>46039</v>
      </c>
      <c r="C370">
        <v>299</v>
      </c>
      <c r="D370">
        <v>1</v>
      </c>
    </row>
    <row r="371" spans="1:4" x14ac:dyDescent="0.3">
      <c r="A371">
        <v>34</v>
      </c>
      <c r="B371" s="2">
        <v>46040</v>
      </c>
      <c r="C371">
        <v>148</v>
      </c>
      <c r="D371">
        <v>2</v>
      </c>
    </row>
    <row r="372" spans="1:4" x14ac:dyDescent="0.3">
      <c r="A372">
        <v>34</v>
      </c>
      <c r="B372" s="2">
        <v>46041</v>
      </c>
      <c r="C372">
        <v>499</v>
      </c>
      <c r="D372">
        <v>1</v>
      </c>
    </row>
    <row r="373" spans="1:4" x14ac:dyDescent="0.3">
      <c r="A373">
        <v>34</v>
      </c>
      <c r="B373" s="2">
        <v>46043</v>
      </c>
      <c r="C373">
        <v>799</v>
      </c>
      <c r="D373">
        <v>1</v>
      </c>
    </row>
    <row r="374" spans="1:4" x14ac:dyDescent="0.3">
      <c r="A374">
        <v>34</v>
      </c>
      <c r="B374" s="2">
        <v>46044</v>
      </c>
      <c r="C374">
        <v>299</v>
      </c>
      <c r="D374">
        <v>1</v>
      </c>
    </row>
    <row r="375" spans="1:4" x14ac:dyDescent="0.3">
      <c r="A375">
        <v>34</v>
      </c>
      <c r="B375" s="2">
        <v>46045</v>
      </c>
      <c r="C375">
        <v>3148</v>
      </c>
      <c r="D375">
        <v>2</v>
      </c>
    </row>
    <row r="376" spans="1:4" x14ac:dyDescent="0.3">
      <c r="A376">
        <v>34</v>
      </c>
      <c r="B376" s="2">
        <v>46046</v>
      </c>
      <c r="C376">
        <v>548</v>
      </c>
      <c r="D376">
        <v>2</v>
      </c>
    </row>
    <row r="377" spans="1:4" x14ac:dyDescent="0.3">
      <c r="A377">
        <v>35</v>
      </c>
      <c r="B377" s="2">
        <v>46023</v>
      </c>
      <c r="C377">
        <v>798</v>
      </c>
      <c r="D377">
        <v>2</v>
      </c>
    </row>
    <row r="378" spans="1:4" x14ac:dyDescent="0.3">
      <c r="A378">
        <v>35</v>
      </c>
      <c r="B378" s="2">
        <v>46024</v>
      </c>
      <c r="C378">
        <v>1847</v>
      </c>
      <c r="D378">
        <v>3</v>
      </c>
    </row>
    <row r="379" spans="1:4" x14ac:dyDescent="0.3">
      <c r="A379">
        <v>35</v>
      </c>
      <c r="B379" s="2">
        <v>46033</v>
      </c>
      <c r="C379">
        <v>4999</v>
      </c>
      <c r="D379">
        <v>1</v>
      </c>
    </row>
    <row r="380" spans="1:4" x14ac:dyDescent="0.3">
      <c r="A380">
        <v>35</v>
      </c>
      <c r="B380" s="2">
        <v>46034</v>
      </c>
      <c r="C380">
        <v>99</v>
      </c>
      <c r="D380">
        <v>1</v>
      </c>
    </row>
    <row r="381" spans="1:4" x14ac:dyDescent="0.3">
      <c r="A381">
        <v>35</v>
      </c>
      <c r="B381" s="2">
        <v>46035</v>
      </c>
      <c r="C381">
        <v>149</v>
      </c>
      <c r="D381">
        <v>1</v>
      </c>
    </row>
    <row r="382" spans="1:4" x14ac:dyDescent="0.3">
      <c r="A382">
        <v>35</v>
      </c>
      <c r="B382" s="2">
        <v>46043</v>
      </c>
      <c r="C382">
        <v>299</v>
      </c>
      <c r="D382">
        <v>1</v>
      </c>
    </row>
    <row r="383" spans="1:4" x14ac:dyDescent="0.3">
      <c r="A383">
        <v>35</v>
      </c>
      <c r="B383" s="2">
        <v>46044</v>
      </c>
      <c r="C383">
        <v>299</v>
      </c>
      <c r="D383">
        <v>1</v>
      </c>
    </row>
    <row r="384" spans="1:4" x14ac:dyDescent="0.3">
      <c r="A384">
        <v>35</v>
      </c>
      <c r="B384" s="2">
        <v>46046</v>
      </c>
      <c r="C384">
        <v>149</v>
      </c>
      <c r="D384">
        <v>1</v>
      </c>
    </row>
    <row r="385" spans="1:4" x14ac:dyDescent="0.3">
      <c r="A385">
        <v>35</v>
      </c>
      <c r="B385" s="2">
        <v>46048</v>
      </c>
      <c r="C385">
        <v>499</v>
      </c>
      <c r="D385">
        <v>1</v>
      </c>
    </row>
    <row r="386" spans="1:4" x14ac:dyDescent="0.3">
      <c r="A386">
        <v>35</v>
      </c>
      <c r="B386" s="2">
        <v>46050</v>
      </c>
      <c r="C386">
        <v>49</v>
      </c>
      <c r="D386">
        <v>1</v>
      </c>
    </row>
    <row r="387" spans="1:4" x14ac:dyDescent="0.3">
      <c r="A387">
        <v>35</v>
      </c>
      <c r="B387" s="2">
        <v>46052</v>
      </c>
      <c r="C387">
        <v>99</v>
      </c>
      <c r="D387">
        <v>1</v>
      </c>
    </row>
    <row r="388" spans="1:4" x14ac:dyDescent="0.3">
      <c r="A388">
        <v>36</v>
      </c>
      <c r="B388" s="2">
        <v>46023</v>
      </c>
      <c r="C388">
        <v>149</v>
      </c>
      <c r="D388">
        <v>1</v>
      </c>
    </row>
    <row r="389" spans="1:4" x14ac:dyDescent="0.3">
      <c r="A389">
        <v>36</v>
      </c>
      <c r="B389" s="2">
        <v>46024</v>
      </c>
      <c r="C389">
        <v>299</v>
      </c>
      <c r="D389">
        <v>1</v>
      </c>
    </row>
    <row r="390" spans="1:4" x14ac:dyDescent="0.3">
      <c r="A390">
        <v>36</v>
      </c>
      <c r="B390" s="2">
        <v>46025</v>
      </c>
      <c r="C390">
        <v>248</v>
      </c>
      <c r="D390">
        <v>2</v>
      </c>
    </row>
    <row r="391" spans="1:4" x14ac:dyDescent="0.3">
      <c r="A391">
        <v>36</v>
      </c>
      <c r="B391" s="2">
        <v>46026</v>
      </c>
      <c r="C391">
        <v>149</v>
      </c>
      <c r="D391">
        <v>1</v>
      </c>
    </row>
    <row r="392" spans="1:4" x14ac:dyDescent="0.3">
      <c r="A392">
        <v>36</v>
      </c>
      <c r="B392" s="2">
        <v>46038</v>
      </c>
      <c r="C392">
        <v>1499</v>
      </c>
      <c r="D392">
        <v>1</v>
      </c>
    </row>
    <row r="393" spans="1:4" x14ac:dyDescent="0.3">
      <c r="A393">
        <v>36</v>
      </c>
      <c r="B393" s="2">
        <v>46039</v>
      </c>
      <c r="C393">
        <v>1499</v>
      </c>
      <c r="D393">
        <v>1</v>
      </c>
    </row>
    <row r="394" spans="1:4" x14ac:dyDescent="0.3">
      <c r="A394">
        <v>36</v>
      </c>
      <c r="B394" s="2">
        <v>46041</v>
      </c>
      <c r="C394">
        <v>4999</v>
      </c>
      <c r="D394">
        <v>1</v>
      </c>
    </row>
    <row r="395" spans="1:4" x14ac:dyDescent="0.3">
      <c r="A395">
        <v>36</v>
      </c>
      <c r="B395" s="2">
        <v>46042</v>
      </c>
      <c r="C395">
        <v>49</v>
      </c>
      <c r="D395">
        <v>1</v>
      </c>
    </row>
    <row r="396" spans="1:4" x14ac:dyDescent="0.3">
      <c r="A396">
        <v>36</v>
      </c>
      <c r="B396" s="2">
        <v>46046</v>
      </c>
      <c r="C396">
        <v>1647</v>
      </c>
      <c r="D396">
        <v>3</v>
      </c>
    </row>
    <row r="397" spans="1:4" x14ac:dyDescent="0.3">
      <c r="A397">
        <v>36</v>
      </c>
      <c r="B397" s="2">
        <v>46048</v>
      </c>
      <c r="C397">
        <v>198</v>
      </c>
      <c r="D397">
        <v>2</v>
      </c>
    </row>
    <row r="398" spans="1:4" x14ac:dyDescent="0.3">
      <c r="A398">
        <v>36</v>
      </c>
      <c r="B398" s="2">
        <v>46050</v>
      </c>
      <c r="C398">
        <v>999</v>
      </c>
      <c r="D398">
        <v>1</v>
      </c>
    </row>
    <row r="399" spans="1:4" x14ac:dyDescent="0.3">
      <c r="A399">
        <v>36</v>
      </c>
      <c r="B399" s="2">
        <v>46051</v>
      </c>
      <c r="C399">
        <v>799</v>
      </c>
      <c r="D399">
        <v>1</v>
      </c>
    </row>
    <row r="400" spans="1:4" x14ac:dyDescent="0.3">
      <c r="A400">
        <v>37</v>
      </c>
      <c r="B400" s="2">
        <v>46023</v>
      </c>
      <c r="C400">
        <v>598</v>
      </c>
      <c r="D400">
        <v>2</v>
      </c>
    </row>
    <row r="401" spans="1:4" x14ac:dyDescent="0.3">
      <c r="A401">
        <v>37</v>
      </c>
      <c r="B401" s="2">
        <v>46024</v>
      </c>
      <c r="C401">
        <v>2999</v>
      </c>
      <c r="D401">
        <v>1</v>
      </c>
    </row>
    <row r="402" spans="1:4" x14ac:dyDescent="0.3">
      <c r="A402">
        <v>37</v>
      </c>
      <c r="B402" s="2">
        <v>46025</v>
      </c>
      <c r="C402">
        <v>299</v>
      </c>
      <c r="D402">
        <v>1</v>
      </c>
    </row>
    <row r="403" spans="1:4" x14ac:dyDescent="0.3">
      <c r="A403">
        <v>37</v>
      </c>
      <c r="B403" s="2">
        <v>46026</v>
      </c>
      <c r="C403">
        <v>49</v>
      </c>
      <c r="D403">
        <v>1</v>
      </c>
    </row>
    <row r="404" spans="1:4" x14ac:dyDescent="0.3">
      <c r="A404">
        <v>37</v>
      </c>
      <c r="B404" s="2">
        <v>46027</v>
      </c>
      <c r="C404">
        <v>1499</v>
      </c>
      <c r="D404">
        <v>1</v>
      </c>
    </row>
    <row r="405" spans="1:4" x14ac:dyDescent="0.3">
      <c r="A405">
        <v>37</v>
      </c>
      <c r="B405" s="2">
        <v>46028</v>
      </c>
      <c r="C405">
        <v>99</v>
      </c>
      <c r="D405">
        <v>1</v>
      </c>
    </row>
    <row r="406" spans="1:4" x14ac:dyDescent="0.3">
      <c r="A406">
        <v>37</v>
      </c>
      <c r="B406" s="2">
        <v>46034</v>
      </c>
      <c r="C406">
        <v>149</v>
      </c>
      <c r="D406">
        <v>1</v>
      </c>
    </row>
    <row r="407" spans="1:4" x14ac:dyDescent="0.3">
      <c r="A407">
        <v>37</v>
      </c>
      <c r="B407" s="2">
        <v>46038</v>
      </c>
      <c r="C407">
        <v>2999</v>
      </c>
      <c r="D407">
        <v>1</v>
      </c>
    </row>
    <row r="408" spans="1:4" x14ac:dyDescent="0.3">
      <c r="A408">
        <v>37</v>
      </c>
      <c r="B408" s="2">
        <v>46039</v>
      </c>
      <c r="C408">
        <v>49</v>
      </c>
      <c r="D408">
        <v>1</v>
      </c>
    </row>
    <row r="409" spans="1:4" x14ac:dyDescent="0.3">
      <c r="A409">
        <v>37</v>
      </c>
      <c r="B409" s="2">
        <v>46042</v>
      </c>
      <c r="C409">
        <v>149</v>
      </c>
      <c r="D409">
        <v>1</v>
      </c>
    </row>
    <row r="410" spans="1:4" x14ac:dyDescent="0.3">
      <c r="A410">
        <v>37</v>
      </c>
      <c r="B410" s="2">
        <v>46043</v>
      </c>
      <c r="C410">
        <v>99</v>
      </c>
      <c r="D410">
        <v>1</v>
      </c>
    </row>
    <row r="411" spans="1:4" x14ac:dyDescent="0.3">
      <c r="A411">
        <v>37</v>
      </c>
      <c r="B411" s="2">
        <v>46045</v>
      </c>
      <c r="C411">
        <v>1999</v>
      </c>
      <c r="D411">
        <v>1</v>
      </c>
    </row>
    <row r="412" spans="1:4" x14ac:dyDescent="0.3">
      <c r="A412">
        <v>37</v>
      </c>
      <c r="B412" s="2">
        <v>46049</v>
      </c>
      <c r="C412">
        <v>799</v>
      </c>
      <c r="D412">
        <v>1</v>
      </c>
    </row>
    <row r="413" spans="1:4" x14ac:dyDescent="0.3">
      <c r="A413">
        <v>37</v>
      </c>
      <c r="B413" s="2">
        <v>46050</v>
      </c>
      <c r="C413">
        <v>697</v>
      </c>
      <c r="D413">
        <v>3</v>
      </c>
    </row>
    <row r="414" spans="1:4" x14ac:dyDescent="0.3">
      <c r="A414">
        <v>37</v>
      </c>
      <c r="B414" s="2">
        <v>46051</v>
      </c>
      <c r="C414">
        <v>149</v>
      </c>
      <c r="D414">
        <v>1</v>
      </c>
    </row>
    <row r="415" spans="1:4" x14ac:dyDescent="0.3">
      <c r="A415">
        <v>37</v>
      </c>
      <c r="B415" s="2">
        <v>46052</v>
      </c>
      <c r="C415">
        <v>299</v>
      </c>
      <c r="D415">
        <v>1</v>
      </c>
    </row>
    <row r="416" spans="1:4" x14ac:dyDescent="0.3">
      <c r="A416">
        <v>38</v>
      </c>
      <c r="B416" s="2">
        <v>46027</v>
      </c>
      <c r="C416">
        <v>1499</v>
      </c>
      <c r="D416">
        <v>1</v>
      </c>
    </row>
    <row r="417" spans="1:4" x14ac:dyDescent="0.3">
      <c r="A417">
        <v>38</v>
      </c>
      <c r="B417" s="2">
        <v>46028</v>
      </c>
      <c r="C417">
        <v>99</v>
      </c>
      <c r="D417">
        <v>1</v>
      </c>
    </row>
    <row r="418" spans="1:4" x14ac:dyDescent="0.3">
      <c r="A418">
        <v>38</v>
      </c>
      <c r="B418" s="2">
        <v>46031</v>
      </c>
      <c r="C418">
        <v>348</v>
      </c>
      <c r="D418">
        <v>2</v>
      </c>
    </row>
    <row r="419" spans="1:4" x14ac:dyDescent="0.3">
      <c r="A419">
        <v>38</v>
      </c>
      <c r="B419" s="2">
        <v>46032</v>
      </c>
      <c r="C419">
        <v>398</v>
      </c>
      <c r="D419">
        <v>2</v>
      </c>
    </row>
    <row r="420" spans="1:4" x14ac:dyDescent="0.3">
      <c r="A420">
        <v>38</v>
      </c>
      <c r="B420" s="2">
        <v>46037</v>
      </c>
      <c r="C420">
        <v>499</v>
      </c>
      <c r="D420">
        <v>1</v>
      </c>
    </row>
    <row r="421" spans="1:4" x14ac:dyDescent="0.3">
      <c r="A421">
        <v>38</v>
      </c>
      <c r="B421" s="2">
        <v>46044</v>
      </c>
      <c r="C421">
        <v>299</v>
      </c>
      <c r="D421">
        <v>1</v>
      </c>
    </row>
    <row r="422" spans="1:4" x14ac:dyDescent="0.3">
      <c r="A422">
        <v>38</v>
      </c>
      <c r="B422" s="2">
        <v>46045</v>
      </c>
      <c r="C422">
        <v>499</v>
      </c>
      <c r="D422">
        <v>1</v>
      </c>
    </row>
    <row r="423" spans="1:4" x14ac:dyDescent="0.3">
      <c r="A423">
        <v>38</v>
      </c>
      <c r="B423" s="2">
        <v>46050</v>
      </c>
      <c r="C423">
        <v>299</v>
      </c>
      <c r="D423">
        <v>1</v>
      </c>
    </row>
    <row r="424" spans="1:4" x14ac:dyDescent="0.3">
      <c r="A424">
        <v>39</v>
      </c>
      <c r="B424" s="2">
        <v>46024</v>
      </c>
      <c r="C424">
        <v>499</v>
      </c>
      <c r="D424">
        <v>1</v>
      </c>
    </row>
    <row r="425" spans="1:4" x14ac:dyDescent="0.3">
      <c r="A425">
        <v>39</v>
      </c>
      <c r="B425" s="2">
        <v>46027</v>
      </c>
      <c r="C425">
        <v>299</v>
      </c>
      <c r="D425">
        <v>1</v>
      </c>
    </row>
    <row r="426" spans="1:4" x14ac:dyDescent="0.3">
      <c r="A426">
        <v>39</v>
      </c>
      <c r="B426" s="2">
        <v>46031</v>
      </c>
      <c r="C426">
        <v>399</v>
      </c>
      <c r="D426">
        <v>1</v>
      </c>
    </row>
    <row r="427" spans="1:4" x14ac:dyDescent="0.3">
      <c r="A427">
        <v>39</v>
      </c>
      <c r="B427" s="2">
        <v>46032</v>
      </c>
      <c r="C427">
        <v>49</v>
      </c>
      <c r="D427">
        <v>1</v>
      </c>
    </row>
    <row r="428" spans="1:4" x14ac:dyDescent="0.3">
      <c r="A428">
        <v>39</v>
      </c>
      <c r="B428" s="2">
        <v>46038</v>
      </c>
      <c r="C428">
        <v>499</v>
      </c>
      <c r="D428">
        <v>1</v>
      </c>
    </row>
    <row r="429" spans="1:4" x14ac:dyDescent="0.3">
      <c r="A429">
        <v>39</v>
      </c>
      <c r="B429" s="2">
        <v>46039</v>
      </c>
      <c r="C429">
        <v>2999</v>
      </c>
      <c r="D429">
        <v>1</v>
      </c>
    </row>
    <row r="430" spans="1:4" x14ac:dyDescent="0.3">
      <c r="A430">
        <v>39</v>
      </c>
      <c r="B430" s="2">
        <v>46040</v>
      </c>
      <c r="C430">
        <v>2999</v>
      </c>
      <c r="D430">
        <v>1</v>
      </c>
    </row>
    <row r="431" spans="1:4" x14ac:dyDescent="0.3">
      <c r="A431">
        <v>39</v>
      </c>
      <c r="B431" s="2">
        <v>46044</v>
      </c>
      <c r="C431">
        <v>9796</v>
      </c>
      <c r="D431">
        <v>4</v>
      </c>
    </row>
    <row r="432" spans="1:4" x14ac:dyDescent="0.3">
      <c r="A432">
        <v>39</v>
      </c>
      <c r="B432" s="2">
        <v>46045</v>
      </c>
      <c r="C432">
        <v>4999</v>
      </c>
      <c r="D432">
        <v>1</v>
      </c>
    </row>
    <row r="433" spans="1:4" x14ac:dyDescent="0.3">
      <c r="A433">
        <v>39</v>
      </c>
      <c r="B433" s="2">
        <v>46051</v>
      </c>
      <c r="C433">
        <v>149</v>
      </c>
      <c r="D433">
        <v>1</v>
      </c>
    </row>
    <row r="434" spans="1:4" x14ac:dyDescent="0.3">
      <c r="A434">
        <v>40</v>
      </c>
      <c r="B434" s="2">
        <v>46023</v>
      </c>
      <c r="C434">
        <v>299</v>
      </c>
      <c r="D434">
        <v>1</v>
      </c>
    </row>
    <row r="435" spans="1:4" x14ac:dyDescent="0.3">
      <c r="A435">
        <v>40</v>
      </c>
      <c r="B435" s="2">
        <v>46025</v>
      </c>
      <c r="C435">
        <v>49</v>
      </c>
      <c r="D435">
        <v>1</v>
      </c>
    </row>
    <row r="436" spans="1:4" x14ac:dyDescent="0.3">
      <c r="A436">
        <v>40</v>
      </c>
      <c r="B436" s="2">
        <v>46030</v>
      </c>
      <c r="C436">
        <v>49</v>
      </c>
      <c r="D436">
        <v>1</v>
      </c>
    </row>
    <row r="437" spans="1:4" x14ac:dyDescent="0.3">
      <c r="A437">
        <v>40</v>
      </c>
      <c r="B437" s="2">
        <v>46033</v>
      </c>
      <c r="C437">
        <v>4999</v>
      </c>
      <c r="D437">
        <v>1</v>
      </c>
    </row>
    <row r="438" spans="1:4" x14ac:dyDescent="0.3">
      <c r="A438">
        <v>40</v>
      </c>
      <c r="B438" s="2">
        <v>46034</v>
      </c>
      <c r="C438">
        <v>99</v>
      </c>
      <c r="D438">
        <v>1</v>
      </c>
    </row>
    <row r="439" spans="1:4" x14ac:dyDescent="0.3">
      <c r="A439">
        <v>40</v>
      </c>
      <c r="B439" s="2">
        <v>46035</v>
      </c>
      <c r="C439">
        <v>299</v>
      </c>
      <c r="D439">
        <v>1</v>
      </c>
    </row>
    <row r="440" spans="1:4" x14ac:dyDescent="0.3">
      <c r="A440">
        <v>40</v>
      </c>
      <c r="B440" s="2">
        <v>46036</v>
      </c>
      <c r="C440">
        <v>99</v>
      </c>
      <c r="D440">
        <v>1</v>
      </c>
    </row>
    <row r="441" spans="1:4" x14ac:dyDescent="0.3">
      <c r="A441">
        <v>40</v>
      </c>
      <c r="B441" s="2">
        <v>46037</v>
      </c>
      <c r="C441">
        <v>149</v>
      </c>
      <c r="D441">
        <v>1</v>
      </c>
    </row>
    <row r="442" spans="1:4" x14ac:dyDescent="0.3">
      <c r="A442">
        <v>40</v>
      </c>
      <c r="B442" s="2">
        <v>46040</v>
      </c>
      <c r="C442">
        <v>799</v>
      </c>
      <c r="D442">
        <v>1</v>
      </c>
    </row>
    <row r="443" spans="1:4" x14ac:dyDescent="0.3">
      <c r="A443">
        <v>40</v>
      </c>
      <c r="B443" s="2">
        <v>46041</v>
      </c>
      <c r="C443">
        <v>648</v>
      </c>
      <c r="D443">
        <v>2</v>
      </c>
    </row>
    <row r="444" spans="1:4" x14ac:dyDescent="0.3">
      <c r="A444">
        <v>40</v>
      </c>
      <c r="B444" s="2">
        <v>46045</v>
      </c>
      <c r="C444">
        <v>598</v>
      </c>
      <c r="D444">
        <v>2</v>
      </c>
    </row>
    <row r="445" spans="1:4" x14ac:dyDescent="0.3">
      <c r="A445">
        <v>40</v>
      </c>
      <c r="B445" s="2">
        <v>46051</v>
      </c>
      <c r="C445">
        <v>149</v>
      </c>
      <c r="D445">
        <v>1</v>
      </c>
    </row>
    <row r="446" spans="1:4" x14ac:dyDescent="0.3">
      <c r="A446">
        <v>40</v>
      </c>
      <c r="B446" s="2">
        <v>46052</v>
      </c>
      <c r="C446">
        <v>499</v>
      </c>
      <c r="D446">
        <v>1</v>
      </c>
    </row>
    <row r="447" spans="1:4" x14ac:dyDescent="0.3">
      <c r="A447" t="s">
        <v>619</v>
      </c>
      <c r="C447">
        <v>382603</v>
      </c>
      <c r="D447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D4DC-F498-4D0B-9FA2-525B446C9597}">
  <dimension ref="A1:E2"/>
  <sheetViews>
    <sheetView workbookViewId="0">
      <selection activeCell="A2" sqref="A2"/>
    </sheetView>
  </sheetViews>
  <sheetFormatPr defaultRowHeight="14.4" x14ac:dyDescent="0.3"/>
  <cols>
    <col min="1" max="1" width="19" bestFit="1" customWidth="1"/>
    <col min="2" max="2" width="8" bestFit="1" customWidth="1"/>
    <col min="5" max="5" width="13.44140625" bestFit="1" customWidth="1"/>
  </cols>
  <sheetData>
    <row r="1" spans="1:5" ht="15" thickBot="1" x14ac:dyDescent="0.35">
      <c r="A1" s="7" t="s">
        <v>5</v>
      </c>
      <c r="B1" s="10" t="s">
        <v>12</v>
      </c>
      <c r="C1" s="10" t="s">
        <v>9</v>
      </c>
      <c r="D1" s="10" t="s">
        <v>24</v>
      </c>
      <c r="E1" s="11" t="s">
        <v>15</v>
      </c>
    </row>
    <row r="2" spans="1:5" ht="15" thickBot="1" x14ac:dyDescent="0.35">
      <c r="A2" s="10" t="s">
        <v>616</v>
      </c>
      <c r="B2" s="1">
        <v>5.0000000000000001E-3</v>
      </c>
      <c r="C2" s="1">
        <v>1.4999999999999999E-2</v>
      </c>
      <c r="D2" s="1">
        <v>0.02</v>
      </c>
      <c r="E2" s="1">
        <v>1.7999999999999999E-2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F79C-FE79-47AC-83B7-53A4A575EB77}">
  <dimension ref="A1:M41"/>
  <sheetViews>
    <sheetView tabSelected="1" workbookViewId="0">
      <selection activeCell="N1" sqref="N1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3.77734375" bestFit="1" customWidth="1"/>
    <col min="4" max="4" width="14.21875" bestFit="1" customWidth="1"/>
    <col min="5" max="5" width="10.77734375" bestFit="1" customWidth="1"/>
    <col min="6" max="6" width="11.44140625" bestFit="1" customWidth="1"/>
    <col min="7" max="7" width="14.5546875" bestFit="1" customWidth="1"/>
    <col min="8" max="8" width="16.21875" bestFit="1" customWidth="1"/>
    <col min="9" max="9" width="14.44140625" bestFit="1" customWidth="1"/>
    <col min="10" max="10" width="14.77734375" bestFit="1" customWidth="1"/>
    <col min="11" max="12" width="22" bestFit="1" customWidth="1"/>
    <col min="13" max="13" width="16.33203125" bestFit="1" customWidth="1"/>
  </cols>
  <sheetData>
    <row r="1" spans="1:13" x14ac:dyDescent="0.3">
      <c r="A1" s="8" t="s">
        <v>2</v>
      </c>
      <c r="B1" s="8" t="s">
        <v>562</v>
      </c>
      <c r="C1" s="8" t="s">
        <v>627</v>
      </c>
      <c r="D1" s="8" t="s">
        <v>628</v>
      </c>
      <c r="E1" s="8" t="s">
        <v>629</v>
      </c>
      <c r="F1" s="8" t="s">
        <v>630</v>
      </c>
      <c r="G1" s="8" t="s">
        <v>631</v>
      </c>
      <c r="H1" s="8" t="s">
        <v>632</v>
      </c>
      <c r="I1" s="8" t="s">
        <v>633</v>
      </c>
      <c r="J1" s="8" t="s">
        <v>634</v>
      </c>
      <c r="K1" s="7" t="s">
        <v>635</v>
      </c>
      <c r="L1" s="7" t="s">
        <v>636</v>
      </c>
      <c r="M1" s="7" t="s">
        <v>637</v>
      </c>
    </row>
    <row r="2" spans="1:13" x14ac:dyDescent="0.3">
      <c r="A2" s="3">
        <f>merchants!A2</f>
        <v>1</v>
      </c>
      <c r="B2" s="3" t="str">
        <f>VLOOKUP(A2,merchants!$A$2:$D$41,2,FALSE())</f>
        <v>Merchant_001</v>
      </c>
      <c r="C2" s="13">
        <f>SUMIFS(ledger!$E$2:$E$548,ledger!$C$2:$C$548,A2,ledger!$G$2:$G$548,"captured")</f>
        <v>10142</v>
      </c>
      <c r="D2" s="3">
        <f>COUNTIFS(ledger!$C$2:$C$548,A2,ledger!$G$2:$G$548,"captured")</f>
        <v>8</v>
      </c>
      <c r="E2" s="3">
        <f>SUMIFS(ledger!$E$2:$E$548,ledger!$C$2:$C$548,A2,ledger!$G$2:$G$548,"failed")</f>
        <v>299</v>
      </c>
      <c r="F2" s="3">
        <f>COUNTIFS(ledger!$C$2:$C$548,A2,ledger!$G$2:$G$548,"failed")</f>
        <v>1</v>
      </c>
      <c r="G2" s="3">
        <f>SUMIFS(ledger!$E$2:$E$548,ledger!$C$2:$C$548,A2,ledger!$G$2:$G$548,"chargeback")</f>
        <v>0</v>
      </c>
      <c r="H2" s="3">
        <f>COUNTIFS(ledger!$C$2:$C$548,A2,ledger!$G$2:$G$548,"chargeback")</f>
        <v>0</v>
      </c>
      <c r="I2" s="14">
        <f>C2+G2+E2</f>
        <v>10441</v>
      </c>
      <c r="J2" s="3">
        <f>D2+F2+H2</f>
        <v>9</v>
      </c>
      <c r="K2" s="3">
        <f>COUNTIF(ledger!$C$2:$C$548,A2)</f>
        <v>9</v>
      </c>
      <c r="L2" s="3">
        <f>SUMIFS(ledger!$J$2:$J$548,ledger!$C$2:$C$548,A2)</f>
        <v>7</v>
      </c>
      <c r="M2" s="12">
        <f>IF(L2=0,0,K2/L2)</f>
        <v>1.2857142857142858</v>
      </c>
    </row>
    <row r="3" spans="1:13" x14ac:dyDescent="0.3">
      <c r="A3" s="3">
        <f>merchants!A3</f>
        <v>2</v>
      </c>
      <c r="B3" s="3" t="str">
        <f>VLOOKUP(A3,merchants!$A$2:$D$41,2,FALSE())</f>
        <v>Merchant_002</v>
      </c>
      <c r="C3" s="13">
        <f>SUMIFS(ledger!$E$2:$E$548,ledger!$C$2:$C$548,A3,ledger!$G$2:$G$548,"captured")</f>
        <v>3640</v>
      </c>
      <c r="D3" s="3">
        <f>COUNTIFS(ledger!$C$2:$C$548,A3,ledger!$G$2:$G$548,"captured")</f>
        <v>10</v>
      </c>
      <c r="E3" s="3">
        <f>SUMIFS(ledger!$E$2:$E$548,ledger!$C$2:$C$548,A3,ledger!$G$2:$G$548,"failed")</f>
        <v>0</v>
      </c>
      <c r="F3" s="3">
        <f>COUNTIFS(ledger!$C$2:$C$548,A3,ledger!$G$2:$G$548,"failed")</f>
        <v>0</v>
      </c>
      <c r="G3" s="3">
        <f>SUMIFS(ledger!$E$2:$E$548,ledger!$C$2:$C$548,A3,ledger!$G$2:$G$548,"chargeback")</f>
        <v>0</v>
      </c>
      <c r="H3" s="3">
        <f>COUNTIFS(ledger!$C$2:$C$548,A3,ledger!$G$2:$G$548,"chargeback")</f>
        <v>0</v>
      </c>
      <c r="I3" s="14">
        <f t="shared" ref="I3:I41" si="0">C3+G3+E3</f>
        <v>3640</v>
      </c>
      <c r="J3" s="3">
        <f t="shared" ref="J3:J41" si="1">D3+F3+H3</f>
        <v>10</v>
      </c>
      <c r="K3" s="3">
        <f>COUNTIF(ledger!$C$2:$C$548,A3)</f>
        <v>10</v>
      </c>
      <c r="L3" s="3">
        <f>SUMIFS(ledger!$J$2:$J$548,ledger!$C$2:$C$548,A3)</f>
        <v>9</v>
      </c>
      <c r="M3" s="12">
        <f t="shared" ref="M3:M41" si="2">IF(L3=0,0,K3/L3)</f>
        <v>1.1111111111111112</v>
      </c>
    </row>
    <row r="4" spans="1:13" x14ac:dyDescent="0.3">
      <c r="A4" s="3">
        <f>merchants!A4</f>
        <v>3</v>
      </c>
      <c r="B4" s="3" t="str">
        <f>VLOOKUP(A4,merchants!$A$2:$D$41,2,FALSE())</f>
        <v>Merchant_003</v>
      </c>
      <c r="C4" s="13">
        <f>SUMIFS(ledger!$E$2:$E$548,ledger!$C$2:$C$548,A4,ledger!$G$2:$G$548,"captured")</f>
        <v>8084</v>
      </c>
      <c r="D4" s="3">
        <f>COUNTIFS(ledger!$C$2:$C$548,A4,ledger!$G$2:$G$548,"captured")</f>
        <v>16</v>
      </c>
      <c r="E4" s="3">
        <f>SUMIFS(ledger!$E$2:$E$548,ledger!$C$2:$C$548,A4,ledger!$G$2:$G$548,"failed")</f>
        <v>0</v>
      </c>
      <c r="F4" s="3">
        <f>COUNTIFS(ledger!$C$2:$C$548,A4,ledger!$G$2:$G$548,"failed")</f>
        <v>0</v>
      </c>
      <c r="G4" s="3">
        <f>SUMIFS(ledger!$E$2:$E$548,ledger!$C$2:$C$548,A4,ledger!$G$2:$G$548,"chargeback")</f>
        <v>149</v>
      </c>
      <c r="H4" s="3">
        <f>COUNTIFS(ledger!$C$2:$C$548,A4,ledger!$G$2:$G$548,"chargeback")</f>
        <v>1</v>
      </c>
      <c r="I4" s="14">
        <f t="shared" si="0"/>
        <v>8233</v>
      </c>
      <c r="J4" s="3">
        <f t="shared" si="1"/>
        <v>17</v>
      </c>
      <c r="K4" s="3">
        <f>COUNTIF(ledger!$C$2:$C$548,A4)</f>
        <v>17</v>
      </c>
      <c r="L4" s="3">
        <f>SUMIFS(ledger!$J$2:$J$548,ledger!$C$2:$C$548,A4)</f>
        <v>13</v>
      </c>
      <c r="M4" s="12">
        <f t="shared" si="2"/>
        <v>1.3076923076923077</v>
      </c>
    </row>
    <row r="5" spans="1:13" x14ac:dyDescent="0.3">
      <c r="A5" s="3">
        <f>merchants!A5</f>
        <v>4</v>
      </c>
      <c r="B5" s="3" t="str">
        <f>VLOOKUP(A5,merchants!$A$2:$D$41,2,FALSE())</f>
        <v>Merchant_004</v>
      </c>
      <c r="C5" s="13">
        <f>SUMIFS(ledger!$E$2:$E$548,ledger!$C$2:$C$548,A5,ledger!$G$2:$G$548,"captured")</f>
        <v>6941</v>
      </c>
      <c r="D5" s="3">
        <f>COUNTIFS(ledger!$C$2:$C$548,A5,ledger!$G$2:$G$548,"captured")</f>
        <v>9</v>
      </c>
      <c r="E5" s="3">
        <f>SUMIFS(ledger!$E$2:$E$548,ledger!$C$2:$C$548,A5,ledger!$G$2:$G$548,"failed")</f>
        <v>0</v>
      </c>
      <c r="F5" s="3">
        <f>COUNTIFS(ledger!$C$2:$C$548,A5,ledger!$G$2:$G$548,"failed")</f>
        <v>0</v>
      </c>
      <c r="G5" s="3">
        <f>SUMIFS(ledger!$E$2:$E$548,ledger!$C$2:$C$548,A5,ledger!$G$2:$G$548,"chargeback")</f>
        <v>0</v>
      </c>
      <c r="H5" s="3">
        <f>COUNTIFS(ledger!$C$2:$C$548,A5,ledger!$G$2:$G$548,"chargeback")</f>
        <v>0</v>
      </c>
      <c r="I5" s="14">
        <f t="shared" si="0"/>
        <v>6941</v>
      </c>
      <c r="J5" s="3">
        <f t="shared" si="1"/>
        <v>9</v>
      </c>
      <c r="K5" s="3">
        <f>COUNTIF(ledger!$C$2:$C$548,A5)</f>
        <v>9</v>
      </c>
      <c r="L5" s="3">
        <f>SUMIFS(ledger!$J$2:$J$548,ledger!$C$2:$C$548,A5)</f>
        <v>7</v>
      </c>
      <c r="M5" s="12">
        <f t="shared" si="2"/>
        <v>1.2857142857142858</v>
      </c>
    </row>
    <row r="6" spans="1:13" x14ac:dyDescent="0.3">
      <c r="A6" s="3">
        <f>merchants!A6</f>
        <v>5</v>
      </c>
      <c r="B6" s="3" t="str">
        <f>VLOOKUP(A6,merchants!$A$2:$D$41,2,FALSE())</f>
        <v>Merchant_005</v>
      </c>
      <c r="C6" s="13">
        <f>SUMIFS(ledger!$E$2:$E$548,ledger!$C$2:$C$548,A6,ledger!$G$2:$G$548,"captured")</f>
        <v>5340</v>
      </c>
      <c r="D6" s="3">
        <f>COUNTIFS(ledger!$C$2:$C$548,A6,ledger!$G$2:$G$548,"captured")</f>
        <v>10</v>
      </c>
      <c r="E6" s="3">
        <f>SUMIFS(ledger!$E$2:$E$548,ledger!$C$2:$C$548,A6,ledger!$G$2:$G$548,"failed")</f>
        <v>499</v>
      </c>
      <c r="F6" s="3">
        <f>COUNTIFS(ledger!$C$2:$C$548,A6,ledger!$G$2:$G$548,"failed")</f>
        <v>1</v>
      </c>
      <c r="G6" s="3">
        <f>SUMIFS(ledger!$E$2:$E$548,ledger!$C$2:$C$548,A6,ledger!$G$2:$G$548,"chargeback")</f>
        <v>0</v>
      </c>
      <c r="H6" s="3">
        <f>COUNTIFS(ledger!$C$2:$C$548,A6,ledger!$G$2:$G$548,"chargeback")</f>
        <v>0</v>
      </c>
      <c r="I6" s="14">
        <f t="shared" si="0"/>
        <v>5839</v>
      </c>
      <c r="J6" s="3">
        <f t="shared" si="1"/>
        <v>11</v>
      </c>
      <c r="K6" s="3">
        <f>COUNTIF(ledger!$C$2:$C$548,A6)</f>
        <v>11</v>
      </c>
      <c r="L6" s="3">
        <f>SUMIFS(ledger!$J$2:$J$548,ledger!$C$2:$C$548,A6)</f>
        <v>9</v>
      </c>
      <c r="M6" s="12">
        <f t="shared" si="2"/>
        <v>1.2222222222222223</v>
      </c>
    </row>
    <row r="7" spans="1:13" x14ac:dyDescent="0.3">
      <c r="A7" s="3">
        <f>merchants!A7</f>
        <v>6</v>
      </c>
      <c r="B7" s="3" t="str">
        <f>VLOOKUP(A7,merchants!$A$2:$D$41,2,FALSE())</f>
        <v>Merchant_006</v>
      </c>
      <c r="C7" s="13">
        <f>SUMIFS(ledger!$E$2:$E$548,ledger!$C$2:$C$548,A7,ledger!$G$2:$G$548,"captured")</f>
        <v>6637</v>
      </c>
      <c r="D7" s="3">
        <f>COUNTIFS(ledger!$C$2:$C$548,A7,ledger!$G$2:$G$548,"captured")</f>
        <v>13</v>
      </c>
      <c r="E7" s="3">
        <f>SUMIFS(ledger!$E$2:$E$548,ledger!$C$2:$C$548,A7,ledger!$G$2:$G$548,"failed")</f>
        <v>0</v>
      </c>
      <c r="F7" s="3">
        <f>COUNTIFS(ledger!$C$2:$C$548,A7,ledger!$G$2:$G$548,"failed")</f>
        <v>0</v>
      </c>
      <c r="G7" s="3">
        <f>SUMIFS(ledger!$E$2:$E$548,ledger!$C$2:$C$548,A7,ledger!$G$2:$G$548,"chargeback")</f>
        <v>799</v>
      </c>
      <c r="H7" s="3">
        <f>COUNTIFS(ledger!$C$2:$C$548,A7,ledger!$G$2:$G$548,"chargeback")</f>
        <v>1</v>
      </c>
      <c r="I7" s="14">
        <f t="shared" si="0"/>
        <v>7436</v>
      </c>
      <c r="J7" s="3">
        <f t="shared" si="1"/>
        <v>14</v>
      </c>
      <c r="K7" s="3">
        <f>COUNTIF(ledger!$C$2:$C$548,A7)</f>
        <v>14</v>
      </c>
      <c r="L7" s="3">
        <f>SUMIFS(ledger!$J$2:$J$548,ledger!$C$2:$C$548,A7)</f>
        <v>12</v>
      </c>
      <c r="M7" s="12">
        <f t="shared" si="2"/>
        <v>1.1666666666666667</v>
      </c>
    </row>
    <row r="8" spans="1:13" x14ac:dyDescent="0.3">
      <c r="A8" s="3">
        <f>merchants!A8</f>
        <v>7</v>
      </c>
      <c r="B8" s="3" t="str">
        <f>VLOOKUP(A8,merchants!$A$2:$D$41,2,FALSE())</f>
        <v>Merchant_007</v>
      </c>
      <c r="C8" s="13">
        <f>SUMIFS(ledger!$E$2:$E$548,ledger!$C$2:$C$548,A8,ledger!$G$2:$G$548,"captured")</f>
        <v>11638</v>
      </c>
      <c r="D8" s="3">
        <f>COUNTIFS(ledger!$C$2:$C$548,A8,ledger!$G$2:$G$548,"captured")</f>
        <v>12</v>
      </c>
      <c r="E8" s="3">
        <f>SUMIFS(ledger!$E$2:$E$548,ledger!$C$2:$C$548,A8,ledger!$G$2:$G$548,"failed")</f>
        <v>2297</v>
      </c>
      <c r="F8" s="3">
        <f>COUNTIFS(ledger!$C$2:$C$548,A8,ledger!$G$2:$G$548,"failed")</f>
        <v>3</v>
      </c>
      <c r="G8" s="3">
        <f>SUMIFS(ledger!$E$2:$E$548,ledger!$C$2:$C$548,A8,ledger!$G$2:$G$548,"chargeback")</f>
        <v>1999</v>
      </c>
      <c r="H8" s="3">
        <f>COUNTIFS(ledger!$C$2:$C$548,A8,ledger!$G$2:$G$548,"chargeback")</f>
        <v>1</v>
      </c>
      <c r="I8" s="14">
        <f t="shared" si="0"/>
        <v>15934</v>
      </c>
      <c r="J8" s="3">
        <f t="shared" si="1"/>
        <v>16</v>
      </c>
      <c r="K8" s="3">
        <f>COUNTIF(ledger!$C$2:$C$548,A8)</f>
        <v>16</v>
      </c>
      <c r="L8" s="3">
        <f>SUMIFS(ledger!$J$2:$J$548,ledger!$C$2:$C$548,A8)</f>
        <v>11</v>
      </c>
      <c r="M8" s="12">
        <f t="shared" si="2"/>
        <v>1.4545454545454546</v>
      </c>
    </row>
    <row r="9" spans="1:13" x14ac:dyDescent="0.3">
      <c r="A9" s="3">
        <f>merchants!A9</f>
        <v>8</v>
      </c>
      <c r="B9" s="3" t="str">
        <f>VLOOKUP(A9,merchants!$A$2:$D$41,2,FALSE())</f>
        <v>Merchant_008</v>
      </c>
      <c r="C9" s="13">
        <f>SUMIFS(ledger!$E$2:$E$548,ledger!$C$2:$C$548,A9,ledger!$G$2:$G$548,"captured")</f>
        <v>7086</v>
      </c>
      <c r="D9" s="3">
        <f>COUNTIFS(ledger!$C$2:$C$548,A9,ledger!$G$2:$G$548,"captured")</f>
        <v>14</v>
      </c>
      <c r="E9" s="3">
        <f>SUMIFS(ledger!$E$2:$E$548,ledger!$C$2:$C$548,A9,ledger!$G$2:$G$548,"failed")</f>
        <v>299</v>
      </c>
      <c r="F9" s="3">
        <f>COUNTIFS(ledger!$C$2:$C$548,A9,ledger!$G$2:$G$548,"failed")</f>
        <v>1</v>
      </c>
      <c r="G9" s="3">
        <f>SUMIFS(ledger!$E$2:$E$548,ledger!$C$2:$C$548,A9,ledger!$G$2:$G$548,"chargeback")</f>
        <v>49</v>
      </c>
      <c r="H9" s="3">
        <f>COUNTIFS(ledger!$C$2:$C$548,A9,ledger!$G$2:$G$548,"chargeback")</f>
        <v>1</v>
      </c>
      <c r="I9" s="14">
        <f t="shared" si="0"/>
        <v>7434</v>
      </c>
      <c r="J9" s="3">
        <f t="shared" si="1"/>
        <v>16</v>
      </c>
      <c r="K9" s="3">
        <f>COUNTIF(ledger!$C$2:$C$548,A9)</f>
        <v>16</v>
      </c>
      <c r="L9" s="3">
        <f>SUMIFS(ledger!$J$2:$J$548,ledger!$C$2:$C$548,A9)</f>
        <v>13</v>
      </c>
      <c r="M9" s="12">
        <f t="shared" si="2"/>
        <v>1.2307692307692308</v>
      </c>
    </row>
    <row r="10" spans="1:13" x14ac:dyDescent="0.3">
      <c r="A10" s="3">
        <f>merchants!A10</f>
        <v>9</v>
      </c>
      <c r="B10" s="3" t="str">
        <f>VLOOKUP(A10,merchants!$A$2:$D$41,2,FALSE())</f>
        <v>Merchant_009</v>
      </c>
      <c r="C10" s="13">
        <f>SUMIFS(ledger!$E$2:$E$548,ledger!$C$2:$C$548,A10,ledger!$G$2:$G$548,"captured")</f>
        <v>4485</v>
      </c>
      <c r="D10" s="3">
        <f>COUNTIFS(ledger!$C$2:$C$548,A10,ledger!$G$2:$G$548,"captured")</f>
        <v>15</v>
      </c>
      <c r="E10" s="3">
        <f>SUMIFS(ledger!$E$2:$E$548,ledger!$C$2:$C$548,A10,ledger!$G$2:$G$548,"failed")</f>
        <v>497</v>
      </c>
      <c r="F10" s="3">
        <f>COUNTIFS(ledger!$C$2:$C$548,A10,ledger!$G$2:$G$548,"failed")</f>
        <v>3</v>
      </c>
      <c r="G10" s="3">
        <f>SUMIFS(ledger!$E$2:$E$548,ledger!$C$2:$C$548,A10,ledger!$G$2:$G$548,"chargeback")</f>
        <v>0</v>
      </c>
      <c r="H10" s="3">
        <f>COUNTIFS(ledger!$C$2:$C$548,A10,ledger!$G$2:$G$548,"chargeback")</f>
        <v>0</v>
      </c>
      <c r="I10" s="14">
        <f t="shared" si="0"/>
        <v>4982</v>
      </c>
      <c r="J10" s="3">
        <f t="shared" si="1"/>
        <v>18</v>
      </c>
      <c r="K10" s="3">
        <f>COUNTIF(ledger!$C$2:$C$548,A10)</f>
        <v>18</v>
      </c>
      <c r="L10" s="3">
        <f>SUMIFS(ledger!$J$2:$J$548,ledger!$C$2:$C$548,A10)</f>
        <v>14</v>
      </c>
      <c r="M10" s="12">
        <f t="shared" si="2"/>
        <v>1.2857142857142858</v>
      </c>
    </row>
    <row r="11" spans="1:13" x14ac:dyDescent="0.3">
      <c r="A11" s="3">
        <f>merchants!A11</f>
        <v>10</v>
      </c>
      <c r="B11" s="3" t="str">
        <f>VLOOKUP(A11,merchants!$A$2:$D$41,2,FALSE())</f>
        <v>Merchant_010</v>
      </c>
      <c r="C11" s="13">
        <f>SUMIFS(ledger!$E$2:$E$548,ledger!$C$2:$C$548,A11,ledger!$G$2:$G$548,"captured")</f>
        <v>7639</v>
      </c>
      <c r="D11" s="3">
        <f>COUNTIFS(ledger!$C$2:$C$548,A11,ledger!$G$2:$G$548,"captured")</f>
        <v>11</v>
      </c>
      <c r="E11" s="3">
        <f>SUMIFS(ledger!$E$2:$E$548,ledger!$C$2:$C$548,A11,ledger!$G$2:$G$548,"failed")</f>
        <v>399</v>
      </c>
      <c r="F11" s="3">
        <f>COUNTIFS(ledger!$C$2:$C$548,A11,ledger!$G$2:$G$548,"failed")</f>
        <v>1</v>
      </c>
      <c r="G11" s="3">
        <f>SUMIFS(ledger!$E$2:$E$548,ledger!$C$2:$C$548,A11,ledger!$G$2:$G$548,"chargeback")</f>
        <v>5048</v>
      </c>
      <c r="H11" s="3">
        <f>COUNTIFS(ledger!$C$2:$C$548,A11,ledger!$G$2:$G$548,"chargeback")</f>
        <v>2</v>
      </c>
      <c r="I11" s="14">
        <f t="shared" si="0"/>
        <v>13086</v>
      </c>
      <c r="J11" s="3">
        <f t="shared" si="1"/>
        <v>14</v>
      </c>
      <c r="K11" s="3">
        <f>COUNTIF(ledger!$C$2:$C$548,A11)</f>
        <v>14</v>
      </c>
      <c r="L11" s="3">
        <f>SUMIFS(ledger!$J$2:$J$548,ledger!$C$2:$C$548,A11)</f>
        <v>12</v>
      </c>
      <c r="M11" s="12">
        <f t="shared" si="2"/>
        <v>1.1666666666666667</v>
      </c>
    </row>
    <row r="12" spans="1:13" x14ac:dyDescent="0.3">
      <c r="A12" s="3">
        <f>merchants!A12</f>
        <v>11</v>
      </c>
      <c r="B12" s="3" t="str">
        <f>VLOOKUP(A12,merchants!$A$2:$D$41,2,FALSE())</f>
        <v>Merchant_011</v>
      </c>
      <c r="C12" s="13">
        <f>SUMIFS(ledger!$E$2:$E$548,ledger!$C$2:$C$548,A12,ledger!$G$2:$G$548,"captured")</f>
        <v>9292</v>
      </c>
      <c r="D12" s="3">
        <f>COUNTIFS(ledger!$C$2:$C$548,A12,ledger!$G$2:$G$548,"captured")</f>
        <v>8</v>
      </c>
      <c r="E12" s="3">
        <f>SUMIFS(ledger!$E$2:$E$548,ledger!$C$2:$C$548,A12,ledger!$G$2:$G$548,"failed")</f>
        <v>1499</v>
      </c>
      <c r="F12" s="3">
        <f>COUNTIFS(ledger!$C$2:$C$548,A12,ledger!$G$2:$G$548,"failed")</f>
        <v>1</v>
      </c>
      <c r="G12" s="3">
        <f>SUMIFS(ledger!$E$2:$E$548,ledger!$C$2:$C$548,A12,ledger!$G$2:$G$548,"chargeback")</f>
        <v>149</v>
      </c>
      <c r="H12" s="3">
        <f>COUNTIFS(ledger!$C$2:$C$548,A12,ledger!$G$2:$G$548,"chargeback")</f>
        <v>1</v>
      </c>
      <c r="I12" s="14">
        <f t="shared" si="0"/>
        <v>10940</v>
      </c>
      <c r="J12" s="3">
        <f t="shared" si="1"/>
        <v>10</v>
      </c>
      <c r="K12" s="3">
        <f>COUNTIF(ledger!$C$2:$C$548,A12)</f>
        <v>10</v>
      </c>
      <c r="L12" s="3">
        <f>SUMIFS(ledger!$J$2:$J$548,ledger!$C$2:$C$548,A12)</f>
        <v>9</v>
      </c>
      <c r="M12" s="12">
        <f t="shared" si="2"/>
        <v>1.1111111111111112</v>
      </c>
    </row>
    <row r="13" spans="1:13" x14ac:dyDescent="0.3">
      <c r="A13" s="3">
        <f>merchants!A13</f>
        <v>12</v>
      </c>
      <c r="B13" s="3" t="str">
        <f>VLOOKUP(A13,merchants!$A$2:$D$41,2,FALSE())</f>
        <v>Merchant_012</v>
      </c>
      <c r="C13" s="13">
        <f>SUMIFS(ledger!$E$2:$E$548,ledger!$C$2:$C$548,A13,ledger!$G$2:$G$548,"captured")</f>
        <v>9389</v>
      </c>
      <c r="D13" s="3">
        <f>COUNTIFS(ledger!$C$2:$C$548,A13,ledger!$G$2:$G$548,"captured")</f>
        <v>11</v>
      </c>
      <c r="E13" s="3">
        <f>SUMIFS(ledger!$E$2:$E$548,ledger!$C$2:$C$548,A13,ledger!$G$2:$G$548,"failed")</f>
        <v>998</v>
      </c>
      <c r="F13" s="3">
        <f>COUNTIFS(ledger!$C$2:$C$548,A13,ledger!$G$2:$G$548,"failed")</f>
        <v>2</v>
      </c>
      <c r="G13" s="3">
        <f>SUMIFS(ledger!$E$2:$E$548,ledger!$C$2:$C$548,A13,ledger!$G$2:$G$548,"chargeback")</f>
        <v>0</v>
      </c>
      <c r="H13" s="3">
        <f>COUNTIFS(ledger!$C$2:$C$548,A13,ledger!$G$2:$G$548,"chargeback")</f>
        <v>0</v>
      </c>
      <c r="I13" s="14">
        <f t="shared" si="0"/>
        <v>10387</v>
      </c>
      <c r="J13" s="3">
        <f t="shared" si="1"/>
        <v>13</v>
      </c>
      <c r="K13" s="3">
        <f>COUNTIF(ledger!$C$2:$C$548,A13)</f>
        <v>13</v>
      </c>
      <c r="L13" s="3">
        <f>SUMIFS(ledger!$J$2:$J$548,ledger!$C$2:$C$548,A13)</f>
        <v>9</v>
      </c>
      <c r="M13" s="12">
        <f t="shared" si="2"/>
        <v>1.4444444444444444</v>
      </c>
    </row>
    <row r="14" spans="1:13" x14ac:dyDescent="0.3">
      <c r="A14" s="3">
        <f>merchants!A14</f>
        <v>13</v>
      </c>
      <c r="B14" s="3" t="str">
        <f>VLOOKUP(A14,merchants!$A$2:$D$41,2,FALSE())</f>
        <v>Merchant_013</v>
      </c>
      <c r="C14" s="13">
        <f>SUMIFS(ledger!$E$2:$E$548,ledger!$C$2:$C$548,A14,ledger!$G$2:$G$548,"captured")</f>
        <v>10390</v>
      </c>
      <c r="D14" s="3">
        <f>COUNTIFS(ledger!$C$2:$C$548,A14,ledger!$G$2:$G$548,"captured")</f>
        <v>10</v>
      </c>
      <c r="E14" s="3">
        <f>SUMIFS(ledger!$E$2:$E$548,ledger!$C$2:$C$548,A14,ledger!$G$2:$G$548,"failed")</f>
        <v>2999</v>
      </c>
      <c r="F14" s="3">
        <f>COUNTIFS(ledger!$C$2:$C$548,A14,ledger!$G$2:$G$548,"failed")</f>
        <v>1</v>
      </c>
      <c r="G14" s="3">
        <f>SUMIFS(ledger!$E$2:$E$548,ledger!$C$2:$C$548,A14,ledger!$G$2:$G$548,"chargeback")</f>
        <v>4999</v>
      </c>
      <c r="H14" s="3">
        <f>COUNTIFS(ledger!$C$2:$C$548,A14,ledger!$G$2:$G$548,"chargeback")</f>
        <v>1</v>
      </c>
      <c r="I14" s="14">
        <f t="shared" si="0"/>
        <v>18388</v>
      </c>
      <c r="J14" s="3">
        <f t="shared" si="1"/>
        <v>12</v>
      </c>
      <c r="K14" s="3">
        <f>COUNTIF(ledger!$C$2:$C$548,A14)</f>
        <v>12</v>
      </c>
      <c r="L14" s="3">
        <f>SUMIFS(ledger!$J$2:$J$548,ledger!$C$2:$C$548,A14)</f>
        <v>11</v>
      </c>
      <c r="M14" s="12">
        <f t="shared" si="2"/>
        <v>1.0909090909090908</v>
      </c>
    </row>
    <row r="15" spans="1:13" x14ac:dyDescent="0.3">
      <c r="A15" s="3">
        <f>merchants!A15</f>
        <v>14</v>
      </c>
      <c r="B15" s="3" t="str">
        <f>VLOOKUP(A15,merchants!$A$2:$D$41,2,FALSE())</f>
        <v>Merchant_014</v>
      </c>
      <c r="C15" s="13">
        <f>SUMIFS(ledger!$E$2:$E$548,ledger!$C$2:$C$548,A15,ledger!$G$2:$G$548,"captured")</f>
        <v>6189</v>
      </c>
      <c r="D15" s="3">
        <f>COUNTIFS(ledger!$C$2:$C$548,A15,ledger!$G$2:$G$548,"captured")</f>
        <v>11</v>
      </c>
      <c r="E15" s="3">
        <f>SUMIFS(ledger!$E$2:$E$548,ledger!$C$2:$C$548,A15,ledger!$G$2:$G$548,"failed")</f>
        <v>299</v>
      </c>
      <c r="F15" s="3">
        <f>COUNTIFS(ledger!$C$2:$C$548,A15,ledger!$G$2:$G$548,"failed")</f>
        <v>1</v>
      </c>
      <c r="G15" s="3">
        <f>SUMIFS(ledger!$E$2:$E$548,ledger!$C$2:$C$548,A15,ledger!$G$2:$G$548,"chargeback")</f>
        <v>0</v>
      </c>
      <c r="H15" s="3">
        <f>COUNTIFS(ledger!$C$2:$C$548,A15,ledger!$G$2:$G$548,"chargeback")</f>
        <v>0</v>
      </c>
      <c r="I15" s="14">
        <f t="shared" si="0"/>
        <v>6488</v>
      </c>
      <c r="J15" s="3">
        <f t="shared" si="1"/>
        <v>12</v>
      </c>
      <c r="K15" s="3">
        <f>COUNTIF(ledger!$C$2:$C$548,A15)</f>
        <v>12</v>
      </c>
      <c r="L15" s="3">
        <f>SUMIFS(ledger!$J$2:$J$548,ledger!$C$2:$C$548,A15)</f>
        <v>11</v>
      </c>
      <c r="M15" s="12">
        <f t="shared" si="2"/>
        <v>1.0909090909090908</v>
      </c>
    </row>
    <row r="16" spans="1:13" x14ac:dyDescent="0.3">
      <c r="A16" s="3">
        <f>merchants!A16</f>
        <v>15</v>
      </c>
      <c r="B16" s="3" t="str">
        <f>VLOOKUP(A16,merchants!$A$2:$D$41,2,FALSE())</f>
        <v>Merchant_015</v>
      </c>
      <c r="C16" s="13">
        <f>SUMIFS(ledger!$E$2:$E$548,ledger!$C$2:$C$548,A16,ledger!$G$2:$G$548,"captured")</f>
        <v>7439</v>
      </c>
      <c r="D16" s="3">
        <f>COUNTIFS(ledger!$C$2:$C$548,A16,ledger!$G$2:$G$548,"captured")</f>
        <v>11</v>
      </c>
      <c r="E16" s="3">
        <f>SUMIFS(ledger!$E$2:$E$548,ledger!$C$2:$C$548,A16,ledger!$G$2:$G$548,"failed")</f>
        <v>399</v>
      </c>
      <c r="F16" s="3">
        <f>COUNTIFS(ledger!$C$2:$C$548,A16,ledger!$G$2:$G$548,"failed")</f>
        <v>1</v>
      </c>
      <c r="G16" s="3">
        <f>SUMIFS(ledger!$E$2:$E$548,ledger!$C$2:$C$548,A16,ledger!$G$2:$G$548,"chargeback")</f>
        <v>0</v>
      </c>
      <c r="H16" s="3">
        <f>COUNTIFS(ledger!$C$2:$C$548,A16,ledger!$G$2:$G$548,"chargeback")</f>
        <v>0</v>
      </c>
      <c r="I16" s="14">
        <f t="shared" si="0"/>
        <v>7838</v>
      </c>
      <c r="J16" s="3">
        <f t="shared" si="1"/>
        <v>12</v>
      </c>
      <c r="K16" s="3">
        <f>COUNTIF(ledger!$C$2:$C$548,A16)</f>
        <v>12</v>
      </c>
      <c r="L16" s="3">
        <f>SUMIFS(ledger!$J$2:$J$548,ledger!$C$2:$C$548,A16)</f>
        <v>10</v>
      </c>
      <c r="M16" s="12">
        <f t="shared" si="2"/>
        <v>1.2</v>
      </c>
    </row>
    <row r="17" spans="1:13" x14ac:dyDescent="0.3">
      <c r="A17" s="3">
        <f>merchants!A17</f>
        <v>16</v>
      </c>
      <c r="B17" s="3" t="str">
        <f>VLOOKUP(A17,merchants!$A$2:$D$41,2,FALSE())</f>
        <v>Merchant_016</v>
      </c>
      <c r="C17" s="13">
        <f>SUMIFS(ledger!$E$2:$E$548,ledger!$C$2:$C$548,A17,ledger!$G$2:$G$548,"captured")</f>
        <v>10183</v>
      </c>
      <c r="D17" s="3">
        <f>COUNTIFS(ledger!$C$2:$C$548,A17,ledger!$G$2:$G$548,"captured")</f>
        <v>17</v>
      </c>
      <c r="E17" s="3">
        <f>SUMIFS(ledger!$E$2:$E$548,ledger!$C$2:$C$548,A17,ledger!$G$2:$G$548,"failed")</f>
        <v>947</v>
      </c>
      <c r="F17" s="3">
        <f>COUNTIFS(ledger!$C$2:$C$548,A17,ledger!$G$2:$G$548,"failed")</f>
        <v>3</v>
      </c>
      <c r="G17" s="3">
        <f>SUMIFS(ledger!$E$2:$E$548,ledger!$C$2:$C$548,A17,ledger!$G$2:$G$548,"chargeback")</f>
        <v>0</v>
      </c>
      <c r="H17" s="3">
        <f>COUNTIFS(ledger!$C$2:$C$548,A17,ledger!$G$2:$G$548,"chargeback")</f>
        <v>0</v>
      </c>
      <c r="I17" s="14">
        <f t="shared" si="0"/>
        <v>11130</v>
      </c>
      <c r="J17" s="3">
        <f t="shared" si="1"/>
        <v>20</v>
      </c>
      <c r="K17" s="3">
        <f>COUNTIF(ledger!$C$2:$C$548,A17)</f>
        <v>20</v>
      </c>
      <c r="L17" s="3">
        <f>SUMIFS(ledger!$J$2:$J$548,ledger!$C$2:$C$548,A17)</f>
        <v>15</v>
      </c>
      <c r="M17" s="12">
        <f t="shared" si="2"/>
        <v>1.3333333333333333</v>
      </c>
    </row>
    <row r="18" spans="1:13" x14ac:dyDescent="0.3">
      <c r="A18" s="3">
        <f>merchants!A18</f>
        <v>17</v>
      </c>
      <c r="B18" s="3" t="str">
        <f>VLOOKUP(A18,merchants!$A$2:$D$41,2,FALSE())</f>
        <v>Merchant_017</v>
      </c>
      <c r="C18" s="13">
        <f>SUMIFS(ledger!$E$2:$E$548,ledger!$C$2:$C$548,A18,ledger!$G$2:$G$548,"captured")</f>
        <v>12738</v>
      </c>
      <c r="D18" s="3">
        <f>COUNTIFS(ledger!$C$2:$C$548,A18,ledger!$G$2:$G$548,"captured")</f>
        <v>12</v>
      </c>
      <c r="E18" s="3">
        <f>SUMIFS(ledger!$E$2:$E$548,ledger!$C$2:$C$548,A18,ledger!$G$2:$G$548,"failed")</f>
        <v>299</v>
      </c>
      <c r="F18" s="3">
        <f>COUNTIFS(ledger!$C$2:$C$548,A18,ledger!$G$2:$G$548,"failed")</f>
        <v>1</v>
      </c>
      <c r="G18" s="3">
        <f>SUMIFS(ledger!$E$2:$E$548,ledger!$C$2:$C$548,A18,ledger!$G$2:$G$548,"chargeback")</f>
        <v>0</v>
      </c>
      <c r="H18" s="3">
        <f>COUNTIFS(ledger!$C$2:$C$548,A18,ledger!$G$2:$G$548,"chargeback")</f>
        <v>0</v>
      </c>
      <c r="I18" s="14">
        <f t="shared" si="0"/>
        <v>13037</v>
      </c>
      <c r="J18" s="3">
        <f t="shared" si="1"/>
        <v>13</v>
      </c>
      <c r="K18" s="3">
        <f>COUNTIF(ledger!$C$2:$C$548,A18)</f>
        <v>13</v>
      </c>
      <c r="L18" s="3">
        <f>SUMIFS(ledger!$J$2:$J$548,ledger!$C$2:$C$548,A18)</f>
        <v>10</v>
      </c>
      <c r="M18" s="12">
        <f t="shared" si="2"/>
        <v>1.3</v>
      </c>
    </row>
    <row r="19" spans="1:13" x14ac:dyDescent="0.3">
      <c r="A19" s="3">
        <f>merchants!A19</f>
        <v>18</v>
      </c>
      <c r="B19" s="3" t="str">
        <f>VLOOKUP(A19,merchants!$A$2:$D$41,2,FALSE())</f>
        <v>Merchant_018</v>
      </c>
      <c r="C19" s="13">
        <f>SUMIFS(ledger!$E$2:$E$548,ledger!$C$2:$C$548,A19,ledger!$G$2:$G$548,"captured")</f>
        <v>7089</v>
      </c>
      <c r="D19" s="3">
        <f>COUNTIFS(ledger!$C$2:$C$548,A19,ledger!$G$2:$G$548,"captured")</f>
        <v>11</v>
      </c>
      <c r="E19" s="3">
        <f>SUMIFS(ledger!$E$2:$E$548,ledger!$C$2:$C$548,A19,ledger!$G$2:$G$548,"failed")</f>
        <v>0</v>
      </c>
      <c r="F19" s="3">
        <f>COUNTIFS(ledger!$C$2:$C$548,A19,ledger!$G$2:$G$548,"failed")</f>
        <v>0</v>
      </c>
      <c r="G19" s="3">
        <f>SUMIFS(ledger!$E$2:$E$548,ledger!$C$2:$C$548,A19,ledger!$G$2:$G$548,"chargeback")</f>
        <v>0</v>
      </c>
      <c r="H19" s="3">
        <f>COUNTIFS(ledger!$C$2:$C$548,A19,ledger!$G$2:$G$548,"chargeback")</f>
        <v>0</v>
      </c>
      <c r="I19" s="14">
        <f t="shared" si="0"/>
        <v>7089</v>
      </c>
      <c r="J19" s="3">
        <f t="shared" si="1"/>
        <v>11</v>
      </c>
      <c r="K19" s="3">
        <f>COUNTIF(ledger!$C$2:$C$548,A19)</f>
        <v>11</v>
      </c>
      <c r="L19" s="3">
        <f>SUMIFS(ledger!$J$2:$J$548,ledger!$C$2:$C$548,A19)</f>
        <v>9</v>
      </c>
      <c r="M19" s="12">
        <f t="shared" si="2"/>
        <v>1.2222222222222223</v>
      </c>
    </row>
    <row r="20" spans="1:13" x14ac:dyDescent="0.3">
      <c r="A20" s="3">
        <f>merchants!A20</f>
        <v>19</v>
      </c>
      <c r="B20" s="3" t="str">
        <f>VLOOKUP(A20,merchants!$A$2:$D$41,2,FALSE())</f>
        <v>Merchant_019</v>
      </c>
      <c r="C20" s="13">
        <f>SUMIFS(ledger!$E$2:$E$548,ledger!$C$2:$C$548,A20,ledger!$G$2:$G$548,"captured")</f>
        <v>7239</v>
      </c>
      <c r="D20" s="3">
        <f>COUNTIFS(ledger!$C$2:$C$548,A20,ledger!$G$2:$G$548,"captured")</f>
        <v>11</v>
      </c>
      <c r="E20" s="3">
        <f>SUMIFS(ledger!$E$2:$E$548,ledger!$C$2:$C$548,A20,ledger!$G$2:$G$548,"failed")</f>
        <v>598</v>
      </c>
      <c r="F20" s="3">
        <f>COUNTIFS(ledger!$C$2:$C$548,A20,ledger!$G$2:$G$548,"failed")</f>
        <v>2</v>
      </c>
      <c r="G20" s="3">
        <f>SUMIFS(ledger!$E$2:$E$548,ledger!$C$2:$C$548,A20,ledger!$G$2:$G$548,"chargeback")</f>
        <v>4999</v>
      </c>
      <c r="H20" s="3">
        <f>COUNTIFS(ledger!$C$2:$C$548,A20,ledger!$G$2:$G$548,"chargeback")</f>
        <v>1</v>
      </c>
      <c r="I20" s="14">
        <f t="shared" si="0"/>
        <v>12836</v>
      </c>
      <c r="J20" s="3">
        <f t="shared" si="1"/>
        <v>14</v>
      </c>
      <c r="K20" s="3">
        <f>COUNTIF(ledger!$C$2:$C$548,A20)</f>
        <v>14</v>
      </c>
      <c r="L20" s="3">
        <f>SUMIFS(ledger!$J$2:$J$548,ledger!$C$2:$C$548,A20)</f>
        <v>12</v>
      </c>
      <c r="M20" s="12">
        <f t="shared" si="2"/>
        <v>1.1666666666666667</v>
      </c>
    </row>
    <row r="21" spans="1:13" x14ac:dyDescent="0.3">
      <c r="A21" s="3">
        <f>merchants!A21</f>
        <v>20</v>
      </c>
      <c r="B21" s="3" t="str">
        <f>VLOOKUP(A21,merchants!$A$2:$D$41,2,FALSE())</f>
        <v>Merchant_020</v>
      </c>
      <c r="C21" s="13">
        <f>SUMIFS(ledger!$E$2:$E$548,ledger!$C$2:$C$548,A21,ledger!$G$2:$G$548,"captured")</f>
        <v>4192</v>
      </c>
      <c r="D21" s="3">
        <f>COUNTIFS(ledger!$C$2:$C$548,A21,ledger!$G$2:$G$548,"captured")</f>
        <v>8</v>
      </c>
      <c r="E21" s="3">
        <f>SUMIFS(ledger!$E$2:$E$548,ledger!$C$2:$C$548,A21,ledger!$G$2:$G$548,"failed")</f>
        <v>49</v>
      </c>
      <c r="F21" s="3">
        <f>COUNTIFS(ledger!$C$2:$C$548,A21,ledger!$G$2:$G$548,"failed")</f>
        <v>1</v>
      </c>
      <c r="G21" s="3">
        <f>SUMIFS(ledger!$E$2:$E$548,ledger!$C$2:$C$548,A21,ledger!$G$2:$G$548,"chargeback")</f>
        <v>0</v>
      </c>
      <c r="H21" s="3">
        <f>COUNTIFS(ledger!$C$2:$C$548,A21,ledger!$G$2:$G$548,"chargeback")</f>
        <v>0</v>
      </c>
      <c r="I21" s="14">
        <f t="shared" si="0"/>
        <v>4241</v>
      </c>
      <c r="J21" s="3">
        <f t="shared" si="1"/>
        <v>9</v>
      </c>
      <c r="K21" s="3">
        <f>COUNTIF(ledger!$C$2:$C$548,A21)</f>
        <v>9</v>
      </c>
      <c r="L21" s="3">
        <f>SUMIFS(ledger!$J$2:$J$548,ledger!$C$2:$C$548,A21)</f>
        <v>8</v>
      </c>
      <c r="M21" s="12">
        <f t="shared" si="2"/>
        <v>1.125</v>
      </c>
    </row>
    <row r="22" spans="1:13" x14ac:dyDescent="0.3">
      <c r="A22" s="3">
        <f>merchants!A22</f>
        <v>21</v>
      </c>
      <c r="B22" s="3" t="str">
        <f>VLOOKUP(A22,merchants!$A$2:$D$41,2,FALSE())</f>
        <v>Merchant_021</v>
      </c>
      <c r="C22" s="13">
        <f>SUMIFS(ledger!$E$2:$E$548,ledger!$C$2:$C$548,A22,ledger!$G$2:$G$548,"captured")</f>
        <v>3887</v>
      </c>
      <c r="D22" s="3">
        <f>COUNTIFS(ledger!$C$2:$C$548,A22,ledger!$G$2:$G$548,"captured")</f>
        <v>13</v>
      </c>
      <c r="E22" s="3">
        <f>SUMIFS(ledger!$E$2:$E$548,ledger!$C$2:$C$548,A22,ledger!$G$2:$G$548,"failed")</f>
        <v>4999</v>
      </c>
      <c r="F22" s="3">
        <f>COUNTIFS(ledger!$C$2:$C$548,A22,ledger!$G$2:$G$548,"failed")</f>
        <v>1</v>
      </c>
      <c r="G22" s="3">
        <f>SUMIFS(ledger!$E$2:$E$548,ledger!$C$2:$C$548,A22,ledger!$G$2:$G$548,"chargeback")</f>
        <v>0</v>
      </c>
      <c r="H22" s="3">
        <f>COUNTIFS(ledger!$C$2:$C$548,A22,ledger!$G$2:$G$548,"chargeback")</f>
        <v>0</v>
      </c>
      <c r="I22" s="14">
        <f t="shared" si="0"/>
        <v>8886</v>
      </c>
      <c r="J22" s="3">
        <f t="shared" si="1"/>
        <v>14</v>
      </c>
      <c r="K22" s="3">
        <f>COUNTIF(ledger!$C$2:$C$548,A22)</f>
        <v>14</v>
      </c>
      <c r="L22" s="3">
        <f>SUMIFS(ledger!$J$2:$J$548,ledger!$C$2:$C$548,A22)</f>
        <v>13</v>
      </c>
      <c r="M22" s="12">
        <f t="shared" si="2"/>
        <v>1.0769230769230769</v>
      </c>
    </row>
    <row r="23" spans="1:13" x14ac:dyDescent="0.3">
      <c r="A23" s="3">
        <f>merchants!A23</f>
        <v>22</v>
      </c>
      <c r="B23" s="3" t="str">
        <f>VLOOKUP(A23,merchants!$A$2:$D$41,2,FALSE())</f>
        <v>Merchant_022</v>
      </c>
      <c r="C23" s="13">
        <f>SUMIFS(ledger!$E$2:$E$548,ledger!$C$2:$C$548,A23,ledger!$G$2:$G$548,"captured")</f>
        <v>11336</v>
      </c>
      <c r="D23" s="3">
        <f>COUNTIFS(ledger!$C$2:$C$548,A23,ledger!$G$2:$G$548,"captured")</f>
        <v>14</v>
      </c>
      <c r="E23" s="3">
        <f>SUMIFS(ledger!$E$2:$E$548,ledger!$C$2:$C$548,A23,ledger!$G$2:$G$548,"failed")</f>
        <v>1198</v>
      </c>
      <c r="F23" s="3">
        <f>COUNTIFS(ledger!$C$2:$C$548,A23,ledger!$G$2:$G$548,"failed")</f>
        <v>2</v>
      </c>
      <c r="G23" s="3">
        <f>SUMIFS(ledger!$E$2:$E$548,ledger!$C$2:$C$548,A23,ledger!$G$2:$G$548,"chargeback")</f>
        <v>0</v>
      </c>
      <c r="H23" s="3">
        <f>COUNTIFS(ledger!$C$2:$C$548,A23,ledger!$G$2:$G$548,"chargeback")</f>
        <v>0</v>
      </c>
      <c r="I23" s="14">
        <f t="shared" si="0"/>
        <v>12534</v>
      </c>
      <c r="J23" s="3">
        <f t="shared" si="1"/>
        <v>16</v>
      </c>
      <c r="K23" s="3">
        <f>COUNTIF(ledger!$C$2:$C$548,A23)</f>
        <v>16</v>
      </c>
      <c r="L23" s="3">
        <f>SUMIFS(ledger!$J$2:$J$548,ledger!$C$2:$C$548,A23)</f>
        <v>11</v>
      </c>
      <c r="M23" s="12">
        <f t="shared" si="2"/>
        <v>1.4545454545454546</v>
      </c>
    </row>
    <row r="24" spans="1:13" x14ac:dyDescent="0.3">
      <c r="A24" s="3">
        <f>merchants!A24</f>
        <v>23</v>
      </c>
      <c r="B24" s="3" t="str">
        <f>VLOOKUP(A24,merchants!$A$2:$D$41,2,FALSE())</f>
        <v>Merchant_023</v>
      </c>
      <c r="C24" s="13">
        <f>SUMIFS(ledger!$E$2:$E$548,ledger!$C$2:$C$548,A24,ledger!$G$2:$G$548,"captured")</f>
        <v>1041</v>
      </c>
      <c r="D24" s="3">
        <f>COUNTIFS(ledger!$C$2:$C$548,A24,ledger!$G$2:$G$548,"captured")</f>
        <v>9</v>
      </c>
      <c r="E24" s="3">
        <f>SUMIFS(ledger!$E$2:$E$548,ledger!$C$2:$C$548,A24,ledger!$G$2:$G$548,"failed")</f>
        <v>0</v>
      </c>
      <c r="F24" s="3">
        <f>COUNTIFS(ledger!$C$2:$C$548,A24,ledger!$G$2:$G$548,"failed")</f>
        <v>0</v>
      </c>
      <c r="G24" s="3">
        <f>SUMIFS(ledger!$E$2:$E$548,ledger!$C$2:$C$548,A24,ledger!$G$2:$G$548,"chargeback")</f>
        <v>1999</v>
      </c>
      <c r="H24" s="3">
        <f>COUNTIFS(ledger!$C$2:$C$548,A24,ledger!$G$2:$G$548,"chargeback")</f>
        <v>1</v>
      </c>
      <c r="I24" s="14">
        <f t="shared" si="0"/>
        <v>3040</v>
      </c>
      <c r="J24" s="3">
        <f t="shared" si="1"/>
        <v>10</v>
      </c>
      <c r="K24" s="3">
        <f>COUNTIF(ledger!$C$2:$C$548,A24)</f>
        <v>10</v>
      </c>
      <c r="L24" s="3">
        <f>SUMIFS(ledger!$J$2:$J$548,ledger!$C$2:$C$548,A24)</f>
        <v>8</v>
      </c>
      <c r="M24" s="12">
        <f t="shared" si="2"/>
        <v>1.25</v>
      </c>
    </row>
    <row r="25" spans="1:13" x14ac:dyDescent="0.3">
      <c r="A25" s="3">
        <f>merchants!A25</f>
        <v>24</v>
      </c>
      <c r="B25" s="3" t="str">
        <f>VLOOKUP(A25,merchants!$A$2:$D$41,2,FALSE())</f>
        <v>Merchant_024</v>
      </c>
      <c r="C25" s="13">
        <f>SUMIFS(ledger!$E$2:$E$548,ledger!$C$2:$C$548,A25,ledger!$G$2:$G$548,"captured")</f>
        <v>3438</v>
      </c>
      <c r="D25" s="3">
        <f>COUNTIFS(ledger!$C$2:$C$548,A25,ledger!$G$2:$G$548,"captured")</f>
        <v>12</v>
      </c>
      <c r="E25" s="3">
        <f>SUMIFS(ledger!$E$2:$E$548,ledger!$C$2:$C$548,A25,ledger!$G$2:$G$548,"failed")</f>
        <v>0</v>
      </c>
      <c r="F25" s="3">
        <f>COUNTIFS(ledger!$C$2:$C$548,A25,ledger!$G$2:$G$548,"failed")</f>
        <v>0</v>
      </c>
      <c r="G25" s="3">
        <f>SUMIFS(ledger!$E$2:$E$548,ledger!$C$2:$C$548,A25,ledger!$G$2:$G$548,"chargeback")</f>
        <v>149</v>
      </c>
      <c r="H25" s="3">
        <f>COUNTIFS(ledger!$C$2:$C$548,A25,ledger!$G$2:$G$548,"chargeback")</f>
        <v>1</v>
      </c>
      <c r="I25" s="14">
        <f t="shared" si="0"/>
        <v>3587</v>
      </c>
      <c r="J25" s="3">
        <f t="shared" si="1"/>
        <v>13</v>
      </c>
      <c r="K25" s="3">
        <f>COUNTIF(ledger!$C$2:$C$548,A25)</f>
        <v>13</v>
      </c>
      <c r="L25" s="3">
        <f>SUMIFS(ledger!$J$2:$J$548,ledger!$C$2:$C$548,A25)</f>
        <v>11</v>
      </c>
      <c r="M25" s="12">
        <f t="shared" si="2"/>
        <v>1.1818181818181819</v>
      </c>
    </row>
    <row r="26" spans="1:13" x14ac:dyDescent="0.3">
      <c r="A26" s="3">
        <f>merchants!A26</f>
        <v>25</v>
      </c>
      <c r="B26" s="3" t="str">
        <f>VLOOKUP(A26,merchants!$A$2:$D$41,2,FALSE())</f>
        <v>Merchant_025</v>
      </c>
      <c r="C26" s="13">
        <f>SUMIFS(ledger!$E$2:$E$548,ledger!$C$2:$C$548,A26,ledger!$G$2:$G$548,"captured")</f>
        <v>12534</v>
      </c>
      <c r="D26" s="3">
        <f>COUNTIFS(ledger!$C$2:$C$548,A26,ledger!$G$2:$G$548,"captured")</f>
        <v>16</v>
      </c>
      <c r="E26" s="3">
        <f>SUMIFS(ledger!$E$2:$E$548,ledger!$C$2:$C$548,A26,ledger!$G$2:$G$548,"failed")</f>
        <v>0</v>
      </c>
      <c r="F26" s="3">
        <f>COUNTIFS(ledger!$C$2:$C$548,A26,ledger!$G$2:$G$548,"failed")</f>
        <v>0</v>
      </c>
      <c r="G26" s="3">
        <f>SUMIFS(ledger!$E$2:$E$548,ledger!$C$2:$C$548,A26,ledger!$G$2:$G$548,"chargeback")</f>
        <v>2999</v>
      </c>
      <c r="H26" s="3">
        <f>COUNTIFS(ledger!$C$2:$C$548,A26,ledger!$G$2:$G$548,"chargeback")</f>
        <v>1</v>
      </c>
      <c r="I26" s="14">
        <f t="shared" si="0"/>
        <v>15533</v>
      </c>
      <c r="J26" s="3">
        <f t="shared" si="1"/>
        <v>17</v>
      </c>
      <c r="K26" s="3">
        <f>COUNTIF(ledger!$C$2:$C$548,A26)</f>
        <v>17</v>
      </c>
      <c r="L26" s="3">
        <f>SUMIFS(ledger!$J$2:$J$548,ledger!$C$2:$C$548,A26)</f>
        <v>11</v>
      </c>
      <c r="M26" s="12">
        <f t="shared" si="2"/>
        <v>1.5454545454545454</v>
      </c>
    </row>
    <row r="27" spans="1:13" x14ac:dyDescent="0.3">
      <c r="A27" s="3">
        <f>merchants!A27</f>
        <v>26</v>
      </c>
      <c r="B27" s="3" t="str">
        <f>VLOOKUP(A27,merchants!$A$2:$D$41,2,FALSE())</f>
        <v>Merchant_026</v>
      </c>
      <c r="C27" s="13">
        <f>SUMIFS(ledger!$E$2:$E$548,ledger!$C$2:$C$548,A27,ledger!$G$2:$G$548,"captured")</f>
        <v>2991</v>
      </c>
      <c r="D27" s="3">
        <f>COUNTIFS(ledger!$C$2:$C$548,A27,ledger!$G$2:$G$548,"captured")</f>
        <v>9</v>
      </c>
      <c r="E27" s="3">
        <f>SUMIFS(ledger!$E$2:$E$548,ledger!$C$2:$C$548,A27,ledger!$G$2:$G$548,"failed")</f>
        <v>2197</v>
      </c>
      <c r="F27" s="3">
        <f>COUNTIFS(ledger!$C$2:$C$548,A27,ledger!$G$2:$G$548,"failed")</f>
        <v>3</v>
      </c>
      <c r="G27" s="3">
        <f>SUMIFS(ledger!$E$2:$E$548,ledger!$C$2:$C$548,A27,ledger!$G$2:$G$548,"chargeback")</f>
        <v>0</v>
      </c>
      <c r="H27" s="3">
        <f>COUNTIFS(ledger!$C$2:$C$548,A27,ledger!$G$2:$G$548,"chargeback")</f>
        <v>0</v>
      </c>
      <c r="I27" s="14">
        <f t="shared" si="0"/>
        <v>5188</v>
      </c>
      <c r="J27" s="3">
        <f t="shared" si="1"/>
        <v>12</v>
      </c>
      <c r="K27" s="3">
        <f>COUNTIF(ledger!$C$2:$C$548,A27)</f>
        <v>12</v>
      </c>
      <c r="L27" s="3">
        <f>SUMIFS(ledger!$J$2:$J$548,ledger!$C$2:$C$548,A27)</f>
        <v>11</v>
      </c>
      <c r="M27" s="12">
        <f t="shared" si="2"/>
        <v>1.0909090909090908</v>
      </c>
    </row>
    <row r="28" spans="1:13" x14ac:dyDescent="0.3">
      <c r="A28" s="3">
        <f>merchants!A28</f>
        <v>27</v>
      </c>
      <c r="B28" s="3" t="str">
        <f>VLOOKUP(A28,merchants!$A$2:$D$41,2,FALSE())</f>
        <v>Merchant_027</v>
      </c>
      <c r="C28" s="13">
        <f>SUMIFS(ledger!$E$2:$E$548,ledger!$C$2:$C$548,A28,ledger!$G$2:$G$548,"captured")</f>
        <v>8038</v>
      </c>
      <c r="D28" s="3">
        <f>COUNTIFS(ledger!$C$2:$C$548,A28,ledger!$G$2:$G$548,"captured")</f>
        <v>12</v>
      </c>
      <c r="E28" s="3">
        <f>SUMIFS(ledger!$E$2:$E$548,ledger!$C$2:$C$548,A28,ledger!$G$2:$G$548,"failed")</f>
        <v>1499</v>
      </c>
      <c r="F28" s="3">
        <f>COUNTIFS(ledger!$C$2:$C$548,A28,ledger!$G$2:$G$548,"failed")</f>
        <v>1</v>
      </c>
      <c r="G28" s="3">
        <f>SUMIFS(ledger!$E$2:$E$548,ledger!$C$2:$C$548,A28,ledger!$G$2:$G$548,"chargeback")</f>
        <v>4047</v>
      </c>
      <c r="H28" s="3">
        <f>COUNTIFS(ledger!$C$2:$C$548,A28,ledger!$G$2:$G$548,"chargeback")</f>
        <v>3</v>
      </c>
      <c r="I28" s="14">
        <f t="shared" si="0"/>
        <v>13584</v>
      </c>
      <c r="J28" s="3">
        <f t="shared" si="1"/>
        <v>16</v>
      </c>
      <c r="K28" s="3">
        <f>COUNTIF(ledger!$C$2:$C$548,A28)</f>
        <v>16</v>
      </c>
      <c r="L28" s="3">
        <f>SUMIFS(ledger!$J$2:$J$548,ledger!$C$2:$C$548,A28)</f>
        <v>13</v>
      </c>
      <c r="M28" s="12">
        <f t="shared" si="2"/>
        <v>1.2307692307692308</v>
      </c>
    </row>
    <row r="29" spans="1:13" x14ac:dyDescent="0.3">
      <c r="A29" s="3">
        <f>merchants!A29</f>
        <v>28</v>
      </c>
      <c r="B29" s="3" t="str">
        <f>VLOOKUP(A29,merchants!$A$2:$D$41,2,FALSE())</f>
        <v>Merchant_028</v>
      </c>
      <c r="C29" s="13">
        <f>SUMIFS(ledger!$E$2:$E$548,ledger!$C$2:$C$548,A29,ledger!$G$2:$G$548,"captured")</f>
        <v>4493</v>
      </c>
      <c r="D29" s="3">
        <f>COUNTIFS(ledger!$C$2:$C$548,A29,ledger!$G$2:$G$548,"captured")</f>
        <v>7</v>
      </c>
      <c r="E29" s="3">
        <f>SUMIFS(ledger!$E$2:$E$548,ledger!$C$2:$C$548,A29,ledger!$G$2:$G$548,"failed")</f>
        <v>3048</v>
      </c>
      <c r="F29" s="3">
        <f>COUNTIFS(ledger!$C$2:$C$548,A29,ledger!$G$2:$G$548,"failed")</f>
        <v>2</v>
      </c>
      <c r="G29" s="3">
        <f>SUMIFS(ledger!$E$2:$E$548,ledger!$C$2:$C$548,A29,ledger!$G$2:$G$548,"chargeback")</f>
        <v>1999</v>
      </c>
      <c r="H29" s="3">
        <f>COUNTIFS(ledger!$C$2:$C$548,A29,ledger!$G$2:$G$548,"chargeback")</f>
        <v>1</v>
      </c>
      <c r="I29" s="14">
        <f t="shared" si="0"/>
        <v>9540</v>
      </c>
      <c r="J29" s="3">
        <f t="shared" si="1"/>
        <v>10</v>
      </c>
      <c r="K29" s="3">
        <f>COUNTIF(ledger!$C$2:$C$548,A29)</f>
        <v>10</v>
      </c>
      <c r="L29" s="3">
        <f>SUMIFS(ledger!$J$2:$J$548,ledger!$C$2:$C$548,A29)</f>
        <v>10</v>
      </c>
      <c r="M29" s="12">
        <f t="shared" si="2"/>
        <v>1</v>
      </c>
    </row>
    <row r="30" spans="1:13" x14ac:dyDescent="0.3">
      <c r="A30" s="3">
        <f>merchants!A30</f>
        <v>29</v>
      </c>
      <c r="B30" s="3" t="str">
        <f>VLOOKUP(A30,merchants!$A$2:$D$41,2,FALSE())</f>
        <v>Merchant_029</v>
      </c>
      <c r="C30" s="13">
        <f>SUMIFS(ledger!$E$2:$E$548,ledger!$C$2:$C$548,A30,ledger!$G$2:$G$548,"captured")</f>
        <v>5686</v>
      </c>
      <c r="D30" s="3">
        <f>COUNTIFS(ledger!$C$2:$C$548,A30,ledger!$G$2:$G$548,"captured")</f>
        <v>14</v>
      </c>
      <c r="E30" s="3">
        <f>SUMIFS(ledger!$E$2:$E$548,ledger!$C$2:$C$548,A30,ledger!$G$2:$G$548,"failed")</f>
        <v>3498</v>
      </c>
      <c r="F30" s="3">
        <f>COUNTIFS(ledger!$C$2:$C$548,A30,ledger!$G$2:$G$548,"failed")</f>
        <v>2</v>
      </c>
      <c r="G30" s="3">
        <f>SUMIFS(ledger!$E$2:$E$548,ledger!$C$2:$C$548,A30,ledger!$G$2:$G$548,"chargeback")</f>
        <v>3897</v>
      </c>
      <c r="H30" s="3">
        <f>COUNTIFS(ledger!$C$2:$C$548,A30,ledger!$G$2:$G$548,"chargeback")</f>
        <v>3</v>
      </c>
      <c r="I30" s="14">
        <f t="shared" si="0"/>
        <v>13081</v>
      </c>
      <c r="J30" s="3">
        <f t="shared" si="1"/>
        <v>19</v>
      </c>
      <c r="K30" s="3">
        <f>COUNTIF(ledger!$C$2:$C$548,A30)</f>
        <v>19</v>
      </c>
      <c r="L30" s="3">
        <f>SUMIFS(ledger!$J$2:$J$548,ledger!$C$2:$C$548,A30)</f>
        <v>13</v>
      </c>
      <c r="M30" s="12">
        <f t="shared" si="2"/>
        <v>1.4615384615384615</v>
      </c>
    </row>
    <row r="31" spans="1:13" x14ac:dyDescent="0.3">
      <c r="A31" s="3">
        <f>merchants!A31</f>
        <v>30</v>
      </c>
      <c r="B31" s="3" t="str">
        <f>VLOOKUP(A31,merchants!$A$2:$D$41,2,FALSE())</f>
        <v>Merchant_030</v>
      </c>
      <c r="C31" s="13">
        <f>SUMIFS(ledger!$E$2:$E$548,ledger!$C$2:$C$548,A31,ledger!$G$2:$G$548,"captured")</f>
        <v>7384</v>
      </c>
      <c r="D31" s="3">
        <f>COUNTIFS(ledger!$C$2:$C$548,A31,ledger!$G$2:$G$548,"captured")</f>
        <v>16</v>
      </c>
      <c r="E31" s="3">
        <f>SUMIFS(ledger!$E$2:$E$548,ledger!$C$2:$C$548,A31,ledger!$G$2:$G$548,"failed")</f>
        <v>499</v>
      </c>
      <c r="F31" s="3">
        <f>COUNTIFS(ledger!$C$2:$C$548,A31,ledger!$G$2:$G$548,"failed")</f>
        <v>1</v>
      </c>
      <c r="G31" s="3">
        <f>SUMIFS(ledger!$E$2:$E$548,ledger!$C$2:$C$548,A31,ledger!$G$2:$G$548,"chargeback")</f>
        <v>0</v>
      </c>
      <c r="H31" s="3">
        <f>COUNTIFS(ledger!$C$2:$C$548,A31,ledger!$G$2:$G$548,"chargeback")</f>
        <v>0</v>
      </c>
      <c r="I31" s="14">
        <f t="shared" si="0"/>
        <v>7883</v>
      </c>
      <c r="J31" s="3">
        <f t="shared" si="1"/>
        <v>17</v>
      </c>
      <c r="K31" s="3">
        <f>COUNTIF(ledger!$C$2:$C$548,A31)</f>
        <v>17</v>
      </c>
      <c r="L31" s="3">
        <f>SUMIFS(ledger!$J$2:$J$548,ledger!$C$2:$C$548,A31)</f>
        <v>13</v>
      </c>
      <c r="M31" s="12">
        <f t="shared" si="2"/>
        <v>1.3076923076923077</v>
      </c>
    </row>
    <row r="32" spans="1:13" x14ac:dyDescent="0.3">
      <c r="A32" s="3">
        <f>merchants!A32</f>
        <v>31</v>
      </c>
      <c r="B32" s="3" t="str">
        <f>VLOOKUP(A32,merchants!$A$2:$D$41,2,FALSE())</f>
        <v>Merchant_031</v>
      </c>
      <c r="C32" s="13">
        <f>SUMIFS(ledger!$E$2:$E$548,ledger!$C$2:$C$548,A32,ledger!$G$2:$G$548,"captured")</f>
        <v>2640</v>
      </c>
      <c r="D32" s="3">
        <f>COUNTIFS(ledger!$C$2:$C$548,A32,ledger!$G$2:$G$548,"captured")</f>
        <v>10</v>
      </c>
      <c r="E32" s="3">
        <f>SUMIFS(ledger!$E$2:$E$548,ledger!$C$2:$C$548,A32,ledger!$G$2:$G$548,"failed")</f>
        <v>2146</v>
      </c>
      <c r="F32" s="3">
        <f>COUNTIFS(ledger!$C$2:$C$548,A32,ledger!$G$2:$G$548,"failed")</f>
        <v>4</v>
      </c>
      <c r="G32" s="3">
        <f>SUMIFS(ledger!$E$2:$E$548,ledger!$C$2:$C$548,A32,ledger!$G$2:$G$548,"chargeback")</f>
        <v>49</v>
      </c>
      <c r="H32" s="3">
        <f>COUNTIFS(ledger!$C$2:$C$548,A32,ledger!$G$2:$G$548,"chargeback")</f>
        <v>1</v>
      </c>
      <c r="I32" s="14">
        <f t="shared" si="0"/>
        <v>4835</v>
      </c>
      <c r="J32" s="3">
        <f t="shared" si="1"/>
        <v>15</v>
      </c>
      <c r="K32" s="3">
        <f>COUNTIF(ledger!$C$2:$C$548,A32)</f>
        <v>15</v>
      </c>
      <c r="L32" s="3">
        <f>SUMIFS(ledger!$J$2:$J$548,ledger!$C$2:$C$548,A32)</f>
        <v>14</v>
      </c>
      <c r="M32" s="12">
        <f t="shared" si="2"/>
        <v>1.0714285714285714</v>
      </c>
    </row>
    <row r="33" spans="1:13" x14ac:dyDescent="0.3">
      <c r="A33" s="3">
        <f>merchants!A33</f>
        <v>32</v>
      </c>
      <c r="B33" s="3" t="str">
        <f>VLOOKUP(A33,merchants!$A$2:$D$41,2,FALSE())</f>
        <v>Merchant_032</v>
      </c>
      <c r="C33" s="13">
        <f>SUMIFS(ledger!$E$2:$E$548,ledger!$C$2:$C$548,A33,ledger!$G$2:$G$548,"captured")</f>
        <v>2589</v>
      </c>
      <c r="D33" s="3">
        <f>COUNTIFS(ledger!$C$2:$C$548,A33,ledger!$G$2:$G$548,"captured")</f>
        <v>11</v>
      </c>
      <c r="E33" s="3">
        <f>SUMIFS(ledger!$E$2:$E$548,ledger!$C$2:$C$548,A33,ledger!$G$2:$G$548,"failed")</f>
        <v>3498</v>
      </c>
      <c r="F33" s="3">
        <f>COUNTIFS(ledger!$C$2:$C$548,A33,ledger!$G$2:$G$548,"failed")</f>
        <v>2</v>
      </c>
      <c r="G33" s="3">
        <f>SUMIFS(ledger!$E$2:$E$548,ledger!$C$2:$C$548,A33,ledger!$G$2:$G$548,"chargeback")</f>
        <v>1999</v>
      </c>
      <c r="H33" s="3">
        <f>COUNTIFS(ledger!$C$2:$C$548,A33,ledger!$G$2:$G$548,"chargeback")</f>
        <v>1</v>
      </c>
      <c r="I33" s="14">
        <f t="shared" si="0"/>
        <v>8086</v>
      </c>
      <c r="J33" s="3">
        <f t="shared" si="1"/>
        <v>14</v>
      </c>
      <c r="K33" s="3">
        <f>COUNTIF(ledger!$C$2:$C$548,A33)</f>
        <v>14</v>
      </c>
      <c r="L33" s="3">
        <f>SUMIFS(ledger!$J$2:$J$548,ledger!$C$2:$C$548,A33)</f>
        <v>12</v>
      </c>
      <c r="M33" s="12">
        <f t="shared" si="2"/>
        <v>1.1666666666666667</v>
      </c>
    </row>
    <row r="34" spans="1:13" x14ac:dyDescent="0.3">
      <c r="A34" s="3">
        <f>merchants!A34</f>
        <v>33</v>
      </c>
      <c r="B34" s="3" t="str">
        <f>VLOOKUP(A34,merchants!$A$2:$D$41,2,FALSE())</f>
        <v>Merchant_033</v>
      </c>
      <c r="C34" s="13">
        <f>SUMIFS(ledger!$E$2:$E$548,ledger!$C$2:$C$548,A34,ledger!$G$2:$G$548,"captured")</f>
        <v>10190</v>
      </c>
      <c r="D34" s="3">
        <f>COUNTIFS(ledger!$C$2:$C$548,A34,ledger!$G$2:$G$548,"captured")</f>
        <v>10</v>
      </c>
      <c r="E34" s="3">
        <f>SUMIFS(ledger!$E$2:$E$548,ledger!$C$2:$C$548,A34,ledger!$G$2:$G$548,"failed")</f>
        <v>149</v>
      </c>
      <c r="F34" s="3">
        <f>COUNTIFS(ledger!$C$2:$C$548,A34,ledger!$G$2:$G$548,"failed")</f>
        <v>1</v>
      </c>
      <c r="G34" s="3">
        <f>SUMIFS(ledger!$E$2:$E$548,ledger!$C$2:$C$548,A34,ledger!$G$2:$G$548,"chargeback")</f>
        <v>0</v>
      </c>
      <c r="H34" s="3">
        <f>COUNTIFS(ledger!$C$2:$C$548,A34,ledger!$G$2:$G$548,"chargeback")</f>
        <v>0</v>
      </c>
      <c r="I34" s="14">
        <f t="shared" si="0"/>
        <v>10339</v>
      </c>
      <c r="J34" s="3">
        <f t="shared" si="1"/>
        <v>11</v>
      </c>
      <c r="K34" s="3">
        <f>COUNTIF(ledger!$C$2:$C$548,A34)</f>
        <v>11</v>
      </c>
      <c r="L34" s="3">
        <f>SUMIFS(ledger!$J$2:$J$548,ledger!$C$2:$C$548,A34)</f>
        <v>10</v>
      </c>
      <c r="M34" s="12">
        <f t="shared" si="2"/>
        <v>1.1000000000000001</v>
      </c>
    </row>
    <row r="35" spans="1:13" x14ac:dyDescent="0.3">
      <c r="A35" s="3">
        <f>merchants!A35</f>
        <v>34</v>
      </c>
      <c r="B35" s="3" t="str">
        <f>VLOOKUP(A35,merchants!$A$2:$D$41,2,FALSE())</f>
        <v>Merchant_034</v>
      </c>
      <c r="C35" s="13">
        <f>SUMIFS(ledger!$E$2:$E$548,ledger!$C$2:$C$548,A35,ledger!$G$2:$G$548,"captured")</f>
        <v>9635</v>
      </c>
      <c r="D35" s="3">
        <f>COUNTIFS(ledger!$C$2:$C$548,A35,ledger!$G$2:$G$548,"captured")</f>
        <v>15</v>
      </c>
      <c r="E35" s="3">
        <f>SUMIFS(ledger!$E$2:$E$548,ledger!$C$2:$C$548,A35,ledger!$G$2:$G$548,"failed")</f>
        <v>399</v>
      </c>
      <c r="F35" s="3">
        <f>COUNTIFS(ledger!$C$2:$C$548,A35,ledger!$G$2:$G$548,"failed")</f>
        <v>1</v>
      </c>
      <c r="G35" s="3">
        <f>SUMIFS(ledger!$E$2:$E$548,ledger!$C$2:$C$548,A35,ledger!$G$2:$G$548,"chargeback")</f>
        <v>0</v>
      </c>
      <c r="H35" s="3">
        <f>COUNTIFS(ledger!$C$2:$C$548,A35,ledger!$G$2:$G$548,"chargeback")</f>
        <v>0</v>
      </c>
      <c r="I35" s="14">
        <f t="shared" si="0"/>
        <v>10034</v>
      </c>
      <c r="J35" s="3">
        <f t="shared" si="1"/>
        <v>16</v>
      </c>
      <c r="K35" s="3">
        <f>COUNTIF(ledger!$C$2:$C$548,A35)</f>
        <v>16</v>
      </c>
      <c r="L35" s="3">
        <f>SUMIFS(ledger!$J$2:$J$548,ledger!$C$2:$C$548,A35)</f>
        <v>12</v>
      </c>
      <c r="M35" s="12">
        <f t="shared" si="2"/>
        <v>1.3333333333333333</v>
      </c>
    </row>
    <row r="36" spans="1:13" x14ac:dyDescent="0.3">
      <c r="A36" s="3">
        <f>merchants!A36</f>
        <v>35</v>
      </c>
      <c r="B36" s="3" t="str">
        <f>VLOOKUP(A36,merchants!$A$2:$D$41,2,FALSE())</f>
        <v>Merchant_035</v>
      </c>
      <c r="C36" s="13">
        <f>SUMIFS(ledger!$E$2:$E$548,ledger!$C$2:$C$548,A36,ledger!$G$2:$G$548,"captured")</f>
        <v>8688</v>
      </c>
      <c r="D36" s="3">
        <f>COUNTIFS(ledger!$C$2:$C$548,A36,ledger!$G$2:$G$548,"captured")</f>
        <v>12</v>
      </c>
      <c r="E36" s="3">
        <f>SUMIFS(ledger!$E$2:$E$548,ledger!$C$2:$C$548,A36,ledger!$G$2:$G$548,"failed")</f>
        <v>598</v>
      </c>
      <c r="F36" s="3">
        <f>COUNTIFS(ledger!$C$2:$C$548,A36,ledger!$G$2:$G$548,"failed")</f>
        <v>2</v>
      </c>
      <c r="G36" s="3">
        <f>SUMIFS(ledger!$E$2:$E$548,ledger!$C$2:$C$548,A36,ledger!$G$2:$G$548,"chargeback")</f>
        <v>0</v>
      </c>
      <c r="H36" s="3">
        <f>COUNTIFS(ledger!$C$2:$C$548,A36,ledger!$G$2:$G$548,"chargeback")</f>
        <v>0</v>
      </c>
      <c r="I36" s="14">
        <f t="shared" si="0"/>
        <v>9286</v>
      </c>
      <c r="J36" s="3">
        <f t="shared" si="1"/>
        <v>14</v>
      </c>
      <c r="K36" s="3">
        <f>COUNTIF(ledger!$C$2:$C$548,A36)</f>
        <v>14</v>
      </c>
      <c r="L36" s="3">
        <f>SUMIFS(ledger!$J$2:$J$548,ledger!$C$2:$C$548,A36)</f>
        <v>11</v>
      </c>
      <c r="M36" s="12">
        <f t="shared" si="2"/>
        <v>1.2727272727272727</v>
      </c>
    </row>
    <row r="37" spans="1:13" x14ac:dyDescent="0.3">
      <c r="A37" s="3">
        <f>merchants!A37</f>
        <v>36</v>
      </c>
      <c r="B37" s="3" t="str">
        <f>VLOOKUP(A37,merchants!$A$2:$D$41,2,FALSE())</f>
        <v>Merchant_036</v>
      </c>
      <c r="C37" s="13">
        <f>SUMIFS(ledger!$E$2:$E$548,ledger!$C$2:$C$548,A37,ledger!$G$2:$G$548,"captured")</f>
        <v>11535</v>
      </c>
      <c r="D37" s="3">
        <f>COUNTIFS(ledger!$C$2:$C$548,A37,ledger!$G$2:$G$548,"captured")</f>
        <v>15</v>
      </c>
      <c r="E37" s="3">
        <f>SUMIFS(ledger!$E$2:$E$548,ledger!$C$2:$C$548,A37,ledger!$G$2:$G$548,"failed")</f>
        <v>0</v>
      </c>
      <c r="F37" s="3">
        <f>COUNTIFS(ledger!$C$2:$C$548,A37,ledger!$G$2:$G$548,"failed")</f>
        <v>0</v>
      </c>
      <c r="G37" s="3">
        <f>SUMIFS(ledger!$E$2:$E$548,ledger!$C$2:$C$548,A37,ledger!$G$2:$G$548,"chargeback")</f>
        <v>999</v>
      </c>
      <c r="H37" s="3">
        <f>COUNTIFS(ledger!$C$2:$C$548,A37,ledger!$G$2:$G$548,"chargeback")</f>
        <v>1</v>
      </c>
      <c r="I37" s="14">
        <f t="shared" si="0"/>
        <v>12534</v>
      </c>
      <c r="J37" s="3">
        <f t="shared" si="1"/>
        <v>16</v>
      </c>
      <c r="K37" s="3">
        <f>COUNTIF(ledger!$C$2:$C$548,A37)</f>
        <v>16</v>
      </c>
      <c r="L37" s="3">
        <f>SUMIFS(ledger!$J$2:$J$548,ledger!$C$2:$C$548,A37)</f>
        <v>12</v>
      </c>
      <c r="M37" s="12">
        <f t="shared" si="2"/>
        <v>1.3333333333333333</v>
      </c>
    </row>
    <row r="38" spans="1:13" x14ac:dyDescent="0.3">
      <c r="A38" s="3">
        <f>merchants!A38</f>
        <v>37</v>
      </c>
      <c r="B38" s="3" t="str">
        <f>VLOOKUP(A38,merchants!$A$2:$D$41,2,FALSE())</f>
        <v>Merchant_037</v>
      </c>
      <c r="C38" s="13">
        <f>SUMIFS(ledger!$E$2:$E$548,ledger!$C$2:$C$548,A38,ledger!$G$2:$G$548,"captured")</f>
        <v>10833</v>
      </c>
      <c r="D38" s="3">
        <f>COUNTIFS(ledger!$C$2:$C$548,A38,ledger!$G$2:$G$548,"captured")</f>
        <v>17</v>
      </c>
      <c r="E38" s="3">
        <f>SUMIFS(ledger!$E$2:$E$548,ledger!$C$2:$C$548,A38,ledger!$G$2:$G$548,"failed")</f>
        <v>99</v>
      </c>
      <c r="F38" s="3">
        <f>COUNTIFS(ledger!$C$2:$C$548,A38,ledger!$G$2:$G$548,"failed")</f>
        <v>1</v>
      </c>
      <c r="G38" s="3">
        <f>SUMIFS(ledger!$E$2:$E$548,ledger!$C$2:$C$548,A38,ledger!$G$2:$G$548,"chargeback")</f>
        <v>1999</v>
      </c>
      <c r="H38" s="3">
        <f>COUNTIFS(ledger!$C$2:$C$548,A38,ledger!$G$2:$G$548,"chargeback")</f>
        <v>1</v>
      </c>
      <c r="I38" s="14">
        <f t="shared" si="0"/>
        <v>12931</v>
      </c>
      <c r="J38" s="3">
        <f t="shared" si="1"/>
        <v>19</v>
      </c>
      <c r="K38" s="3">
        <f>COUNTIF(ledger!$C$2:$C$548,A38)</f>
        <v>19</v>
      </c>
      <c r="L38" s="3">
        <f>SUMIFS(ledger!$J$2:$J$548,ledger!$C$2:$C$548,A38)</f>
        <v>16</v>
      </c>
      <c r="M38" s="12">
        <f t="shared" si="2"/>
        <v>1.1875</v>
      </c>
    </row>
    <row r="39" spans="1:13" x14ac:dyDescent="0.3">
      <c r="A39" s="3">
        <f>merchants!A39</f>
        <v>38</v>
      </c>
      <c r="B39" s="3" t="str">
        <f>VLOOKUP(A39,merchants!$A$2:$D$41,2,FALSE())</f>
        <v>Merchant_038</v>
      </c>
      <c r="C39" s="13">
        <f>SUMIFS(ledger!$E$2:$E$548,ledger!$C$2:$C$548,A39,ledger!$G$2:$G$548,"captured")</f>
        <v>3342</v>
      </c>
      <c r="D39" s="3">
        <f>COUNTIFS(ledger!$C$2:$C$548,A39,ledger!$G$2:$G$548,"captured")</f>
        <v>8</v>
      </c>
      <c r="E39" s="3">
        <f>SUMIFS(ledger!$E$2:$E$548,ledger!$C$2:$C$548,A39,ledger!$G$2:$G$548,"failed")</f>
        <v>598</v>
      </c>
      <c r="F39" s="3">
        <f>COUNTIFS(ledger!$C$2:$C$548,A39,ledger!$G$2:$G$548,"failed")</f>
        <v>2</v>
      </c>
      <c r="G39" s="3">
        <f>SUMIFS(ledger!$E$2:$E$548,ledger!$C$2:$C$548,A39,ledger!$G$2:$G$548,"chargeback")</f>
        <v>0</v>
      </c>
      <c r="H39" s="3">
        <f>COUNTIFS(ledger!$C$2:$C$548,A39,ledger!$G$2:$G$548,"chargeback")</f>
        <v>0</v>
      </c>
      <c r="I39" s="14">
        <f t="shared" si="0"/>
        <v>3940</v>
      </c>
      <c r="J39" s="3">
        <f t="shared" si="1"/>
        <v>10</v>
      </c>
      <c r="K39" s="3">
        <f>COUNTIF(ledger!$C$2:$C$548,A39)</f>
        <v>10</v>
      </c>
      <c r="L39" s="3">
        <f>SUMIFS(ledger!$J$2:$J$548,ledger!$C$2:$C$548,A39)</f>
        <v>8</v>
      </c>
      <c r="M39" s="12">
        <f t="shared" si="2"/>
        <v>1.25</v>
      </c>
    </row>
    <row r="40" spans="1:13" x14ac:dyDescent="0.3">
      <c r="A40" s="3">
        <f>merchants!A40</f>
        <v>39</v>
      </c>
      <c r="B40" s="3" t="str">
        <f>VLOOKUP(A40,merchants!$A$2:$D$41,2,FALSE())</f>
        <v>Merchant_039</v>
      </c>
      <c r="C40" s="13">
        <f>SUMIFS(ledger!$E$2:$E$548,ledger!$C$2:$C$548,A40,ledger!$G$2:$G$548,"captured")</f>
        <v>11291</v>
      </c>
      <c r="D40" s="3">
        <f>COUNTIFS(ledger!$C$2:$C$548,A40,ledger!$G$2:$G$548,"captured")</f>
        <v>9</v>
      </c>
      <c r="E40" s="3">
        <f>SUMIFS(ledger!$E$2:$E$548,ledger!$C$2:$C$548,A40,ledger!$G$2:$G$548,"failed")</f>
        <v>399</v>
      </c>
      <c r="F40" s="3">
        <f>COUNTIFS(ledger!$C$2:$C$548,A40,ledger!$G$2:$G$548,"failed")</f>
        <v>1</v>
      </c>
      <c r="G40" s="3">
        <f>SUMIFS(ledger!$E$2:$E$548,ledger!$C$2:$C$548,A40,ledger!$G$2:$G$548,"chargeback")</f>
        <v>10997</v>
      </c>
      <c r="H40" s="3">
        <f>COUNTIFS(ledger!$C$2:$C$548,A40,ledger!$G$2:$G$548,"chargeback")</f>
        <v>3</v>
      </c>
      <c r="I40" s="14">
        <f t="shared" si="0"/>
        <v>22687</v>
      </c>
      <c r="J40" s="3">
        <f t="shared" si="1"/>
        <v>13</v>
      </c>
      <c r="K40" s="3">
        <f>COUNTIF(ledger!$C$2:$C$548,A40)</f>
        <v>13</v>
      </c>
      <c r="L40" s="3">
        <f>SUMIFS(ledger!$J$2:$J$548,ledger!$C$2:$C$548,A40)</f>
        <v>10</v>
      </c>
      <c r="M40" s="12">
        <f t="shared" si="2"/>
        <v>1.3</v>
      </c>
    </row>
    <row r="41" spans="1:13" x14ac:dyDescent="0.3">
      <c r="A41" s="3">
        <f>merchants!A41</f>
        <v>40</v>
      </c>
      <c r="B41" s="3" t="str">
        <f>VLOOKUP(A41,merchants!$A$2:$D$41,2,FALSE())</f>
        <v>Merchant_040</v>
      </c>
      <c r="C41" s="13">
        <f>SUMIFS(ledger!$E$2:$E$548,ledger!$C$2:$C$548,A41,ledger!$G$2:$G$548,"captured")</f>
        <v>3039</v>
      </c>
      <c r="D41" s="3">
        <f>COUNTIFS(ledger!$C$2:$C$548,A41,ledger!$G$2:$G$548,"captured")</f>
        <v>11</v>
      </c>
      <c r="E41" s="3">
        <f>SUMIFS(ledger!$E$2:$E$548,ledger!$C$2:$C$548,A41,ledger!$G$2:$G$548,"failed")</f>
        <v>548</v>
      </c>
      <c r="F41" s="3">
        <f>COUNTIFS(ledger!$C$2:$C$548,A41,ledger!$G$2:$G$548,"failed")</f>
        <v>2</v>
      </c>
      <c r="G41" s="3">
        <f>SUMIFS(ledger!$E$2:$E$548,ledger!$C$2:$C$548,A41,ledger!$G$2:$G$548,"chargeback")</f>
        <v>5148</v>
      </c>
      <c r="H41" s="3">
        <f>COUNTIFS(ledger!$C$2:$C$548,A41,ledger!$G$2:$G$548,"chargeback")</f>
        <v>2</v>
      </c>
      <c r="I41" s="14">
        <f t="shared" si="0"/>
        <v>8735</v>
      </c>
      <c r="J41" s="3">
        <f t="shared" si="1"/>
        <v>15</v>
      </c>
      <c r="K41" s="3">
        <f>COUNTIF(ledger!$C$2:$C$548,A41)</f>
        <v>15</v>
      </c>
      <c r="L41" s="3">
        <f>SUMIFS(ledger!$J$2:$J$548,ledger!$C$2:$C$548,A41)</f>
        <v>13</v>
      </c>
      <c r="M41" s="12">
        <f t="shared" si="2"/>
        <v>1.1538461538461537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merchants</vt:lpstr>
      <vt:lpstr>ledger</vt:lpstr>
      <vt:lpstr>Transaction_view</vt:lpstr>
      <vt:lpstr>Merchant_Day_Table</vt:lpstr>
      <vt:lpstr>Fee</vt:lpstr>
      <vt:lpstr>Merchant_Status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Sandeep Kumar</cp:lastModifiedBy>
  <dcterms:created xsi:type="dcterms:W3CDTF">2026-08-19T06:53:10Z</dcterms:created>
  <dcterms:modified xsi:type="dcterms:W3CDTF">2026-08-25T10:32:15Z</dcterms:modified>
</cp:coreProperties>
</file>